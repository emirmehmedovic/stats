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5295" windowWidth="18195" windowHeight="6600" tabRatio="640" firstSheet="10" activeTab="29"/>
  </bookViews>
  <sheets>
    <sheet name="01" sheetId="70" r:id="rId1"/>
    <sheet name="02" sheetId="71" r:id="rId2"/>
    <sheet name="03" sheetId="72" r:id="rId3"/>
    <sheet name="04" sheetId="73" r:id="rId4"/>
    <sheet name="05" sheetId="74" r:id="rId5"/>
    <sheet name="06" sheetId="75" r:id="rId6"/>
    <sheet name="07" sheetId="77" r:id="rId7"/>
    <sheet name="08" sheetId="78" r:id="rId8"/>
    <sheet name="09" sheetId="79" r:id="rId9"/>
    <sheet name="10" sheetId="80" r:id="rId10"/>
    <sheet name="11" sheetId="81" r:id="rId11"/>
    <sheet name="12" sheetId="82" r:id="rId12"/>
    <sheet name="13" sheetId="83" r:id="rId13"/>
    <sheet name="14" sheetId="84" r:id="rId14"/>
    <sheet name="15" sheetId="85" r:id="rId15"/>
    <sheet name="16" sheetId="86" r:id="rId16"/>
    <sheet name="17" sheetId="87" r:id="rId17"/>
    <sheet name="18" sheetId="88" r:id="rId18"/>
    <sheet name="19" sheetId="89" r:id="rId19"/>
    <sheet name="20" sheetId="90" r:id="rId20"/>
    <sheet name="21" sheetId="91" r:id="rId21"/>
    <sheet name="22" sheetId="92" r:id="rId22"/>
    <sheet name="23" sheetId="93" r:id="rId23"/>
    <sheet name="24" sheetId="94" r:id="rId24"/>
    <sheet name="25" sheetId="95" r:id="rId25"/>
    <sheet name="26" sheetId="96" r:id="rId26"/>
    <sheet name="27" sheetId="97" r:id="rId27"/>
    <sheet name="28" sheetId="98" r:id="rId28"/>
    <sheet name="29" sheetId="99" r:id="rId29"/>
    <sheet name="30" sheetId="100" r:id="rId30"/>
  </sheets>
  <calcPr calcId="145621"/>
</workbook>
</file>

<file path=xl/calcChain.xml><?xml version="1.0" encoding="utf-8"?>
<calcChain xmlns="http://schemas.openxmlformats.org/spreadsheetml/2006/main">
  <c r="I5" i="100" l="1"/>
  <c r="H5" i="100"/>
  <c r="E5" i="90" l="1"/>
  <c r="E6" i="83" l="1"/>
  <c r="E6" i="75" l="1"/>
  <c r="E5" i="75"/>
  <c r="E3" i="75"/>
</calcChain>
</file>

<file path=xl/sharedStrings.xml><?xml version="1.0" encoding="utf-8"?>
<sst xmlns="http://schemas.openxmlformats.org/spreadsheetml/2006/main" count="1544" uniqueCount="292">
  <si>
    <t>datum</t>
  </si>
  <si>
    <t>kompanija</t>
  </si>
  <si>
    <t>ruta</t>
  </si>
  <si>
    <t>tip a/c</t>
  </si>
  <si>
    <t>reg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</si>
  <si>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</si>
  <si>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</si>
  <si>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</si>
  <si>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</si>
  <si>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</si>
  <si>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</si>
  <si>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</si>
  <si>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</si>
  <si>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</si>
  <si>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</si>
  <si>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</si>
  <si>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</si>
  <si>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</si>
  <si>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</si>
  <si>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</si>
  <si>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WIZZAIR</t>
  </si>
  <si>
    <t>A320</t>
  </si>
  <si>
    <t>SCHEDULED</t>
  </si>
  <si>
    <t>tip OPER</t>
  </si>
  <si>
    <t>TZL-DTM-TZL</t>
  </si>
  <si>
    <t>HA-LYJ</t>
  </si>
  <si>
    <t>W64298</t>
  </si>
  <si>
    <t>W64297</t>
  </si>
  <si>
    <t>TZL-CGN-TZL</t>
  </si>
  <si>
    <t>HA-LWM</t>
  </si>
  <si>
    <t>W64299</t>
  </si>
  <si>
    <t>W64300</t>
  </si>
  <si>
    <t>OTP-TZL-OTP</t>
  </si>
  <si>
    <t>HA-LPM</t>
  </si>
  <si>
    <t>T/TFT</t>
  </si>
  <si>
    <t>-</t>
  </si>
  <si>
    <t>W6807</t>
  </si>
  <si>
    <t>ROP</t>
  </si>
  <si>
    <t>W6809</t>
  </si>
  <si>
    <t>W6810</t>
  </si>
  <si>
    <t>BEG-TZL</t>
  </si>
  <si>
    <t>177+3 INF</t>
  </si>
  <si>
    <t>167+3 INF</t>
  </si>
  <si>
    <t>71+2 INF</t>
  </si>
  <si>
    <t>117+1 INF</t>
  </si>
  <si>
    <t>TZL-HHN-TZL</t>
  </si>
  <si>
    <t>TZL-MLH-TZL</t>
  </si>
  <si>
    <t>TZL-BER-TZL</t>
  </si>
  <si>
    <t>TZL-GOT-TZL</t>
  </si>
  <si>
    <t>TZL-BLL-TZL</t>
  </si>
  <si>
    <t>W64284</t>
  </si>
  <si>
    <t>W64294</t>
  </si>
  <si>
    <t>W64276</t>
  </si>
  <si>
    <t>W64296</t>
  </si>
  <si>
    <t>W64278</t>
  </si>
  <si>
    <t>W64283</t>
  </si>
  <si>
    <t>W64293</t>
  </si>
  <si>
    <t>W64275</t>
  </si>
  <si>
    <t>W64295</t>
  </si>
  <si>
    <t>W64277</t>
  </si>
  <si>
    <t>166+3 INF</t>
  </si>
  <si>
    <t>143+2 INF</t>
  </si>
  <si>
    <t>144+5 INF</t>
  </si>
  <si>
    <t>164+3 INF</t>
  </si>
  <si>
    <t>94+0 INF</t>
  </si>
  <si>
    <t>73+1 INF</t>
  </si>
  <si>
    <t>130+4 INF</t>
  </si>
  <si>
    <t>101+0 INF</t>
  </si>
  <si>
    <t>135+0 INF</t>
  </si>
  <si>
    <t>61+0 INF</t>
  </si>
  <si>
    <t>TZL-VIE-TZL</t>
  </si>
  <si>
    <t>TZL-EIN-TZL</t>
  </si>
  <si>
    <t>TZL-MMX-TZL</t>
  </si>
  <si>
    <t>W64286</t>
  </si>
  <si>
    <t>W64285</t>
  </si>
  <si>
    <t>W64290</t>
  </si>
  <si>
    <t>W64289</t>
  </si>
  <si>
    <t>W64292</t>
  </si>
  <si>
    <t>W64291</t>
  </si>
  <si>
    <t>114+1 INF</t>
  </si>
  <si>
    <t>78+1 INF</t>
  </si>
  <si>
    <t>123+0 INF</t>
  </si>
  <si>
    <t>PEGASUS AIRLINES</t>
  </si>
  <si>
    <t>SAW-TZL-SAW</t>
  </si>
  <si>
    <t>TC-NBP</t>
  </si>
  <si>
    <t>INT. NON-SCHEDULED</t>
  </si>
  <si>
    <t>PC291</t>
  </si>
  <si>
    <t>PC292</t>
  </si>
  <si>
    <t>131+2 INF</t>
  </si>
  <si>
    <t>126+5 INF</t>
  </si>
  <si>
    <t>87+3 INF</t>
  </si>
  <si>
    <t>170+1 INF</t>
  </si>
  <si>
    <t>154+1 INF</t>
  </si>
  <si>
    <t>TZL-FMM-TZL</t>
  </si>
  <si>
    <t>W64280</t>
  </si>
  <si>
    <t>W64279</t>
  </si>
  <si>
    <t>158+4INF</t>
  </si>
  <si>
    <t>148+3 INF</t>
  </si>
  <si>
    <t>TZL-FDH-TZL</t>
  </si>
  <si>
    <t>W64616</t>
  </si>
  <si>
    <t>W64615</t>
  </si>
  <si>
    <t>153+1 INF</t>
  </si>
  <si>
    <t>144+4 INF</t>
  </si>
  <si>
    <t>103+3 INF</t>
  </si>
  <si>
    <t>150+6 INF</t>
  </si>
  <si>
    <t>44+2 INF</t>
  </si>
  <si>
    <t>HA-LYJ/HA-LYS</t>
  </si>
  <si>
    <t>170+3 INF</t>
  </si>
  <si>
    <t>HA-LYS</t>
  </si>
  <si>
    <t>164+2 INF</t>
  </si>
  <si>
    <t>167+2 INF</t>
  </si>
  <si>
    <t>179+4 INF</t>
  </si>
  <si>
    <t>165+3 INF</t>
  </si>
  <si>
    <t>167+6 INF</t>
  </si>
  <si>
    <t>122+4 INF</t>
  </si>
  <si>
    <t>69+3 INF</t>
  </si>
  <si>
    <t>95+3 INF</t>
  </si>
  <si>
    <t>TZL-FKB-TZL</t>
  </si>
  <si>
    <t>W64617</t>
  </si>
  <si>
    <t>W64618</t>
  </si>
  <si>
    <t>151+4 INF</t>
  </si>
  <si>
    <t>96+5 INF</t>
  </si>
  <si>
    <t>159+3 INF</t>
  </si>
  <si>
    <t>159+1 INF</t>
  </si>
  <si>
    <t>120+1 INF</t>
  </si>
  <si>
    <t>152+6 INF</t>
  </si>
  <si>
    <t>149+3 INF</t>
  </si>
  <si>
    <t>141+2 INF</t>
  </si>
  <si>
    <t>Diverted to BEG</t>
  </si>
  <si>
    <t>W6808</t>
  </si>
  <si>
    <t>165+2 INF</t>
  </si>
  <si>
    <t>133+3 INF</t>
  </si>
  <si>
    <t>HA-LPM/LYM</t>
  </si>
  <si>
    <t>PRN-TZL</t>
  </si>
  <si>
    <t>TZL-OTP</t>
  </si>
  <si>
    <t>HA-LYM</t>
  </si>
  <si>
    <t>W6814</t>
  </si>
  <si>
    <t>W6813</t>
  </si>
  <si>
    <t>70+2 INF</t>
  </si>
  <si>
    <t>140+1 INF</t>
  </si>
  <si>
    <t>161+5 INF</t>
  </si>
  <si>
    <t>103+1 INF</t>
  </si>
  <si>
    <t>164+5 INF</t>
  </si>
  <si>
    <t>142+3 INF</t>
  </si>
  <si>
    <t>100+0 INF</t>
  </si>
  <si>
    <t>71+1 INF</t>
  </si>
  <si>
    <t>141+3 INF</t>
  </si>
  <si>
    <t>60+0 INF</t>
  </si>
  <si>
    <t>56+0 INF</t>
  </si>
  <si>
    <t>63+2 INF</t>
  </si>
  <si>
    <t>62+0 INF</t>
  </si>
  <si>
    <t>73+0 INF</t>
  </si>
  <si>
    <t>130+3 INF</t>
  </si>
  <si>
    <t>117+3 INF</t>
  </si>
  <si>
    <t>97+2 INF</t>
  </si>
  <si>
    <t>138+2 INF</t>
  </si>
  <si>
    <t>HA-LPM/HA-LYR</t>
  </si>
  <si>
    <t>122+7 INF</t>
  </si>
  <si>
    <t>115+1 INF</t>
  </si>
  <si>
    <t>72+1 INF</t>
  </si>
  <si>
    <t>HA-LYR</t>
  </si>
  <si>
    <t>86+1 INF</t>
  </si>
  <si>
    <t>149+1 INF</t>
  </si>
  <si>
    <t>SWISS AIR AMBULANCE</t>
  </si>
  <si>
    <t>ZRH-TZL-ACH</t>
  </si>
  <si>
    <t>CL 650</t>
  </si>
  <si>
    <t>HB-JWB</t>
  </si>
  <si>
    <t>MEDEVAC</t>
  </si>
  <si>
    <t>157+4 INF</t>
  </si>
  <si>
    <t>SAZ61</t>
  </si>
  <si>
    <t>SAZ62</t>
  </si>
  <si>
    <t>154+3 INF</t>
  </si>
  <si>
    <t>155+3 INF</t>
  </si>
  <si>
    <t>171+4 INF</t>
  </si>
  <si>
    <t>123+1 INF</t>
  </si>
  <si>
    <t>117+2 INF</t>
  </si>
  <si>
    <t>45+0 INF</t>
  </si>
  <si>
    <t>61+2 INF</t>
  </si>
  <si>
    <t>STANKOVIĆ NEDELJKO</t>
  </si>
  <si>
    <t>BEG-TZL-BRČKO</t>
  </si>
  <si>
    <t>SA341</t>
  </si>
  <si>
    <t>YU-HHS</t>
  </si>
  <si>
    <t>GP/HELICOPTER</t>
  </si>
  <si>
    <t>118+3 INF</t>
  </si>
  <si>
    <t>95+0 INF</t>
  </si>
  <si>
    <t>159+4 INF</t>
  </si>
  <si>
    <t>177+1 INF</t>
  </si>
  <si>
    <t>11:50/15:11</t>
  </si>
  <si>
    <t>97+0 INF</t>
  </si>
  <si>
    <t>111+8 INF</t>
  </si>
  <si>
    <t>98+2 INF</t>
  </si>
  <si>
    <t>62+1 INF</t>
  </si>
  <si>
    <t>HA-LYR/HA-LPM</t>
  </si>
  <si>
    <t>167+1 INF</t>
  </si>
  <si>
    <t>125+0 INF</t>
  </si>
  <si>
    <t>101+2 INF</t>
  </si>
  <si>
    <t>158+3 INF</t>
  </si>
  <si>
    <t>109+1 INF</t>
  </si>
  <si>
    <t>93+2 INF</t>
  </si>
  <si>
    <t>85+4 INF</t>
  </si>
  <si>
    <t>51+1 INF</t>
  </si>
  <si>
    <t>155+2 INF</t>
  </si>
  <si>
    <t>84+0 INF</t>
  </si>
  <si>
    <t>143+3 INF</t>
  </si>
  <si>
    <t>126+6 INF</t>
  </si>
  <si>
    <t>135+0INF</t>
  </si>
  <si>
    <t>111+0INF</t>
  </si>
  <si>
    <t>T</t>
  </si>
  <si>
    <t>W6805</t>
  </si>
  <si>
    <t>TZL-SOF</t>
  </si>
  <si>
    <t>W6804</t>
  </si>
  <si>
    <t>104+2 INF</t>
  </si>
  <si>
    <t>158+4 INF</t>
  </si>
  <si>
    <t>x</t>
  </si>
  <si>
    <t>HA-LYS/HA-LYR</t>
  </si>
  <si>
    <t>145+3INF</t>
  </si>
  <si>
    <t>168+3 INF</t>
  </si>
  <si>
    <t>146+1 INF</t>
  </si>
  <si>
    <t>171+6 INF</t>
  </si>
  <si>
    <t>165+4 INF</t>
  </si>
  <si>
    <t>126+3 INF</t>
  </si>
  <si>
    <t>86+0 INF</t>
  </si>
  <si>
    <t>148+7 INF</t>
  </si>
  <si>
    <t>HA-LVZ</t>
  </si>
  <si>
    <t>145+3 INF</t>
  </si>
  <si>
    <t>85+2 INF</t>
  </si>
  <si>
    <t>89+2 INF</t>
  </si>
  <si>
    <t>89+0INF</t>
  </si>
  <si>
    <t>157+3INF</t>
  </si>
  <si>
    <t>138+0INF</t>
  </si>
  <si>
    <t>81+2INF</t>
  </si>
  <si>
    <t>HA-LPM/HA-LWA</t>
  </si>
  <si>
    <t>A321</t>
  </si>
  <si>
    <t>173+3 INF</t>
  </si>
  <si>
    <t>117+3INF</t>
  </si>
  <si>
    <t>HA-LWA</t>
  </si>
  <si>
    <t>99+2 INF</t>
  </si>
  <si>
    <t>153+6 INF</t>
  </si>
  <si>
    <t>ZRH-TZL-ZRH</t>
  </si>
  <si>
    <t>CL650</t>
  </si>
  <si>
    <t>SAZ63</t>
  </si>
  <si>
    <t>SAZ64</t>
  </si>
  <si>
    <t>INT NONSCHEDULED</t>
  </si>
  <si>
    <t>98+1 INF</t>
  </si>
  <si>
    <t>67+3 INF</t>
  </si>
  <si>
    <t>124+3 INF</t>
  </si>
  <si>
    <t>91+6 INF</t>
  </si>
  <si>
    <t>135+2INF</t>
  </si>
  <si>
    <t>134+0 INF</t>
  </si>
  <si>
    <t>HA-LYR/LSB</t>
  </si>
  <si>
    <t>92+2 INF</t>
  </si>
  <si>
    <t>74+1 INF</t>
  </si>
  <si>
    <t>166+1 INF</t>
  </si>
  <si>
    <t>HA-LSB</t>
  </si>
  <si>
    <t>141+4 INF</t>
  </si>
  <si>
    <t>162+7 INF</t>
  </si>
  <si>
    <t>128+2 INF</t>
  </si>
  <si>
    <t>66+0 INF</t>
  </si>
  <si>
    <t>171+2 INF</t>
  </si>
  <si>
    <t>112+0 INF</t>
  </si>
  <si>
    <t>A320N</t>
  </si>
  <si>
    <t>TC-NBO</t>
  </si>
  <si>
    <t>NON-SCHEDULED</t>
  </si>
  <si>
    <t>169+4 INF</t>
  </si>
  <si>
    <t>68+0 INF</t>
  </si>
  <si>
    <t>150+1 INF</t>
  </si>
  <si>
    <t>77+0 INF</t>
  </si>
  <si>
    <t>125+3 INF</t>
  </si>
  <si>
    <t>HA-LWA/LYR</t>
  </si>
  <si>
    <t>TZL-KTW</t>
  </si>
  <si>
    <t>IGS-TZL-IGS</t>
  </si>
  <si>
    <t>PT46</t>
  </si>
  <si>
    <t>D-FRAH</t>
  </si>
  <si>
    <t>GP/GEN. AVI.</t>
  </si>
  <si>
    <t>153+5 INF</t>
  </si>
  <si>
    <t>KONSTANTINOS BENETATOS</t>
  </si>
  <si>
    <t>79+3 INF</t>
  </si>
  <si>
    <t>162+2 INF</t>
  </si>
  <si>
    <t>EIN-TZL</t>
  </si>
  <si>
    <t>FERRY IN</t>
  </si>
  <si>
    <t>119+2 INF</t>
  </si>
  <si>
    <t>HA-LWA/LYH</t>
  </si>
  <si>
    <t>100+3 INF</t>
  </si>
  <si>
    <t>PZY-TZL-JAHORINA</t>
  </si>
  <si>
    <t>MIL8</t>
  </si>
  <si>
    <t>UTAIR EUROPE</t>
  </si>
  <si>
    <t>OM-AVB</t>
  </si>
  <si>
    <t>HELICOPTER</t>
  </si>
  <si>
    <t>115+2 INF</t>
  </si>
  <si>
    <t>86+2 INF</t>
  </si>
  <si>
    <t>85+3 INF</t>
  </si>
  <si>
    <t>79+2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</si>
</sst>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Garamond"/>
      <family val="1"/>
      <charset val="238"/>
    </font>
    <font>
      <sz val="10"/>
      <color theme="1"/>
      <name val="Garamond"/>
      <family val="1"/>
      <charset val="238"/>
    </font>
    <font>
      <b/>
      <sz val="10"/>
      <color theme="1"/>
      <name val="Garamond"/>
      <family val="1"/>
      <charset val="238"/>
    </font>
    <font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1"/>
      <color theme="1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5" fillId="0" borderId="0"/>
  </cellStyleXfs>
  <cellXfs count="17">
    <xf numFmtId="0" fontId="0" fillId="0" borderId="0" xfId="0"/>
    <xf numFmtId="0" fontId="2" fillId="0" borderId="0" xfId="1" applyFont="1" applyAlignment="1">
      <alignment horizontal="center" vertical="center"/>
    </xf>
    <xf numFmtId="0" fontId="3" fillId="0" borderId="0" xfId="0" applyFont="1" applyAlignment="1">
      <alignment horizontal="center"/>
    </xf>
    <xf numFmtId="20" fontId="4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0" fontId="6" fillId="0" borderId="0" xfId="0" applyFont="1"/>
    <xf numFmtId="20" fontId="4" fillId="0" borderId="0" xfId="0" applyNumberFormat="1" applyFont="1" applyBorder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0" fontId="7" fillId="0" borderId="0" xfId="0" applyFont="1"/>
    <xf numFmtId="3" fontId="3" fillId="0" borderId="0" xfId="0" applyNumberFormat="1" applyFont="1" applyAlignment="1">
      <alignment horizontal="center"/>
    </xf>
    <xf numFmtId="0" fontId="3" fillId="0" borderId="0" xfId="0" applyFont="1"/>
    <xf numFmtId="0" fontId="6" fillId="0" borderId="0" xfId="0" applyFont="1" applyAlignment="1">
      <alignment horizontal="center"/>
    </xf>
    <xf numFmtId="0" fontId="3" fillId="0" borderId="0" xfId="0" applyNumberFormat="1" applyFont="1" applyAlignment="1">
      <alignment horizontal="center"/>
    </xf>
  </cellXfs>
  <cellStyles count="5">
    <cellStyle name="Normal" xfId="0" builtinId="0"/>
    <cellStyle name="Normal 2" xfId="2"/>
    <cellStyle name="Normal 2 2" xfId="3"/>
    <cellStyle name="Normal 2 3" xfId="4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F31" sqref="F31"/>
    </sheetView>
  </sheetViews>
  <sheetFormatPr defaultRowHeight="15" x14ac:dyDescent="0.25"/>
  <cols>
    <col min="2" max="2" width="10.85546875" customWidth="1"/>
    <col min="3" max="3" width="12.28515625" customWidth="1"/>
    <col min="5" max="5" width="13.5703125" customWidth="1"/>
    <col min="6" max="6" width="12" customWidth="1"/>
    <col min="14" max="14" width="14.28515625" customWidth="1"/>
    <col min="15" max="15" width="12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44501</v>
      </c>
      <c r="B2" s="6" t="s">
        <v>20</v>
      </c>
      <c r="C2" s="6" t="s">
        <v>24</v>
      </c>
      <c r="D2" s="6" t="s">
        <v>21</v>
      </c>
      <c r="E2" s="6" t="s">
        <v>25</v>
      </c>
      <c r="F2" s="6" t="s">
        <v>22</v>
      </c>
      <c r="G2" s="6">
        <v>70000</v>
      </c>
      <c r="H2" s="6" t="s">
        <v>26</v>
      </c>
      <c r="I2" s="6" t="s">
        <v>27</v>
      </c>
      <c r="J2" s="7">
        <v>0.77083333333333337</v>
      </c>
      <c r="K2" s="8">
        <v>0.76527777777777783</v>
      </c>
      <c r="L2" s="7">
        <v>0.31944444444444448</v>
      </c>
      <c r="M2" s="8">
        <v>0.33263888888888887</v>
      </c>
      <c r="N2" s="6" t="s">
        <v>44</v>
      </c>
      <c r="O2" s="6" t="s">
        <v>41</v>
      </c>
      <c r="P2" s="6">
        <v>743</v>
      </c>
      <c r="Q2" s="6">
        <v>921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5">
        <v>44501</v>
      </c>
      <c r="B3" s="6" t="s">
        <v>20</v>
      </c>
      <c r="C3" s="6" t="s">
        <v>28</v>
      </c>
      <c r="D3" s="6" t="s">
        <v>21</v>
      </c>
      <c r="E3" s="6" t="s">
        <v>29</v>
      </c>
      <c r="F3" s="6" t="s">
        <v>22</v>
      </c>
      <c r="G3" s="6">
        <v>70000</v>
      </c>
      <c r="H3" s="6" t="s">
        <v>31</v>
      </c>
      <c r="I3" s="6" t="s">
        <v>30</v>
      </c>
      <c r="J3" s="7">
        <v>0.52083333333333337</v>
      </c>
      <c r="K3" s="8">
        <v>0.62083333333333335</v>
      </c>
      <c r="L3" s="7">
        <v>0.33333333333333331</v>
      </c>
      <c r="M3" s="8">
        <v>0.4458333333333333</v>
      </c>
      <c r="N3" s="6" t="s">
        <v>43</v>
      </c>
      <c r="O3" s="6" t="s">
        <v>42</v>
      </c>
      <c r="P3" s="6">
        <v>530</v>
      </c>
      <c r="Q3" s="6">
        <v>777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44501</v>
      </c>
      <c r="B4" s="6" t="s">
        <v>20</v>
      </c>
      <c r="C4" s="6" t="s">
        <v>32</v>
      </c>
      <c r="D4" s="6" t="s">
        <v>21</v>
      </c>
      <c r="E4" s="6" t="s">
        <v>29</v>
      </c>
      <c r="F4" s="6" t="s">
        <v>34</v>
      </c>
      <c r="G4" s="6">
        <v>70000</v>
      </c>
      <c r="H4" s="6" t="s">
        <v>38</v>
      </c>
      <c r="I4" s="6" t="s">
        <v>39</v>
      </c>
      <c r="J4" s="7">
        <v>0.39930555555555558</v>
      </c>
      <c r="K4" s="8">
        <v>0.39583333333333331</v>
      </c>
      <c r="L4" s="7">
        <v>0.62847222222222221</v>
      </c>
      <c r="M4" s="8">
        <v>0.65486111111111112</v>
      </c>
      <c r="N4" s="6">
        <v>0</v>
      </c>
      <c r="O4" s="6">
        <v>0</v>
      </c>
      <c r="P4" s="6">
        <v>0</v>
      </c>
      <c r="Q4" s="6">
        <v>0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5">
        <v>44501</v>
      </c>
      <c r="B5" s="6" t="s">
        <v>20</v>
      </c>
      <c r="C5" s="6" t="s">
        <v>40</v>
      </c>
      <c r="D5" s="6" t="s">
        <v>21</v>
      </c>
      <c r="E5" s="6" t="s">
        <v>33</v>
      </c>
      <c r="F5" s="6" t="s">
        <v>34</v>
      </c>
      <c r="G5" s="6">
        <v>70000</v>
      </c>
      <c r="H5" s="6" t="s">
        <v>36</v>
      </c>
      <c r="I5" s="6" t="s">
        <v>35</v>
      </c>
      <c r="J5" s="7">
        <v>0.57291666666666663</v>
      </c>
      <c r="K5" s="8">
        <v>0.51666666666666672</v>
      </c>
      <c r="L5" s="7" t="s">
        <v>37</v>
      </c>
      <c r="M5" s="8" t="s">
        <v>37</v>
      </c>
      <c r="N5" s="6">
        <v>0</v>
      </c>
      <c r="O5" s="6">
        <v>0</v>
      </c>
      <c r="P5" s="6">
        <v>0</v>
      </c>
      <c r="Q5" s="6">
        <v>0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5"/>
      <c r="B6" s="6"/>
      <c r="C6" s="6"/>
      <c r="D6" s="6"/>
      <c r="E6" s="6"/>
      <c r="F6" s="6"/>
      <c r="G6" s="6"/>
      <c r="H6" s="6"/>
      <c r="I6" s="6"/>
      <c r="J6" s="3"/>
      <c r="K6" s="8"/>
      <c r="L6" s="3"/>
      <c r="M6" s="4"/>
      <c r="N6" s="6"/>
      <c r="O6" s="6"/>
      <c r="P6" s="6"/>
      <c r="Q6" s="2"/>
      <c r="R6" s="2"/>
      <c r="S6" s="2"/>
      <c r="T6" s="2"/>
      <c r="U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O2" sqref="O2"/>
    </sheetView>
  </sheetViews>
  <sheetFormatPr defaultRowHeight="15" x14ac:dyDescent="0.25"/>
  <cols>
    <col min="2" max="2" width="10.85546875" customWidth="1"/>
    <col min="3" max="3" width="12.28515625" customWidth="1"/>
    <col min="5" max="5" width="13.5703125" customWidth="1"/>
    <col min="6" max="6" width="12" customWidth="1"/>
    <col min="14" max="14" width="14.28515625" customWidth="1"/>
    <col min="15" max="15" width="18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44502</v>
      </c>
      <c r="B2" s="6" t="s">
        <v>20</v>
      </c>
      <c r="C2" s="6" t="s">
        <v>45</v>
      </c>
      <c r="D2" s="6" t="s">
        <v>21</v>
      </c>
      <c r="E2" s="6" t="s">
        <v>25</v>
      </c>
      <c r="F2" s="6" t="s">
        <v>22</v>
      </c>
      <c r="G2" s="6">
        <v>70000</v>
      </c>
      <c r="H2" s="6" t="s">
        <v>50</v>
      </c>
      <c r="I2" s="6" t="s">
        <v>55</v>
      </c>
      <c r="J2" s="10">
        <v>0.50347222222222221</v>
      </c>
      <c r="K2" s="8">
        <v>0.49305555555555558</v>
      </c>
      <c r="L2" s="10">
        <v>0.31944444444444448</v>
      </c>
      <c r="M2" s="8">
        <v>0.32430555555555557</v>
      </c>
      <c r="N2" s="6" t="s">
        <v>61</v>
      </c>
      <c r="O2" s="6" t="s">
        <v>60</v>
      </c>
      <c r="P2" s="6">
        <v>651</v>
      </c>
      <c r="Q2" s="6">
        <v>624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5">
        <v>44502</v>
      </c>
      <c r="B3" s="6" t="s">
        <v>20</v>
      </c>
      <c r="C3" s="6" t="s">
        <v>46</v>
      </c>
      <c r="D3" s="6" t="s">
        <v>21</v>
      </c>
      <c r="E3" s="6" t="s">
        <v>33</v>
      </c>
      <c r="F3" s="6" t="s">
        <v>22</v>
      </c>
      <c r="G3" s="6">
        <v>70000</v>
      </c>
      <c r="H3" s="6" t="s">
        <v>51</v>
      </c>
      <c r="I3" s="6" t="s">
        <v>56</v>
      </c>
      <c r="J3" s="10">
        <v>0.69791666666666663</v>
      </c>
      <c r="K3" s="8">
        <v>0.71250000000000002</v>
      </c>
      <c r="L3" s="10">
        <v>0.53125</v>
      </c>
      <c r="M3" s="8">
        <v>0.55972222222222223</v>
      </c>
      <c r="N3" s="6" t="s">
        <v>66</v>
      </c>
      <c r="O3" s="6" t="s">
        <v>62</v>
      </c>
      <c r="P3" s="6">
        <v>613</v>
      </c>
      <c r="Q3" s="6">
        <v>724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44502</v>
      </c>
      <c r="B4" s="6" t="s">
        <v>20</v>
      </c>
      <c r="C4" s="6" t="s">
        <v>47</v>
      </c>
      <c r="D4" s="6" t="s">
        <v>21</v>
      </c>
      <c r="E4" s="6" t="s">
        <v>25</v>
      </c>
      <c r="F4" s="6" t="s">
        <v>22</v>
      </c>
      <c r="G4" s="6">
        <v>70000</v>
      </c>
      <c r="H4" s="6" t="s">
        <v>52</v>
      </c>
      <c r="I4" s="6" t="s">
        <v>57</v>
      </c>
      <c r="J4" s="10">
        <v>0.70833333333333337</v>
      </c>
      <c r="K4" s="8">
        <v>0.73333333333333339</v>
      </c>
      <c r="L4" s="10">
        <v>0.53472222222222221</v>
      </c>
      <c r="M4" s="8">
        <v>0.56527777777777777</v>
      </c>
      <c r="N4" s="6" t="s">
        <v>67</v>
      </c>
      <c r="O4" s="6" t="s">
        <v>63</v>
      </c>
      <c r="P4" s="6">
        <v>635</v>
      </c>
      <c r="Q4" s="6">
        <v>919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5">
        <v>44502</v>
      </c>
      <c r="B5" s="6" t="s">
        <v>20</v>
      </c>
      <c r="C5" s="6" t="s">
        <v>48</v>
      </c>
      <c r="D5" s="6" t="s">
        <v>21</v>
      </c>
      <c r="E5" s="6" t="s">
        <v>33</v>
      </c>
      <c r="F5" s="6" t="s">
        <v>22</v>
      </c>
      <c r="G5" s="6">
        <v>70000</v>
      </c>
      <c r="H5" s="6" t="s">
        <v>53</v>
      </c>
      <c r="I5" s="6" t="s">
        <v>58</v>
      </c>
      <c r="J5" s="10">
        <v>0.95138888888888884</v>
      </c>
      <c r="K5" s="8">
        <v>0.95763888888888893</v>
      </c>
      <c r="L5" s="10">
        <v>0.71875</v>
      </c>
      <c r="M5" s="8">
        <v>0.74444444444444446</v>
      </c>
      <c r="N5" s="6" t="s">
        <v>68</v>
      </c>
      <c r="O5" s="6" t="s">
        <v>64</v>
      </c>
      <c r="P5" s="6">
        <v>543</v>
      </c>
      <c r="Q5" s="6">
        <v>763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5">
        <v>44502</v>
      </c>
      <c r="B6" s="6" t="s">
        <v>20</v>
      </c>
      <c r="C6" s="6" t="s">
        <v>49</v>
      </c>
      <c r="D6" s="6" t="s">
        <v>21</v>
      </c>
      <c r="E6" s="6" t="s">
        <v>25</v>
      </c>
      <c r="F6" s="6" t="s">
        <v>22</v>
      </c>
      <c r="G6" s="6">
        <v>70000</v>
      </c>
      <c r="H6" s="6" t="s">
        <v>54</v>
      </c>
      <c r="I6" s="6" t="s">
        <v>59</v>
      </c>
      <c r="J6" s="10">
        <v>0.94791666666666663</v>
      </c>
      <c r="K6" s="8">
        <v>0.96180555555555547</v>
      </c>
      <c r="L6" s="10">
        <v>0.72916666666666663</v>
      </c>
      <c r="M6" s="4">
        <v>0.76111111111111107</v>
      </c>
      <c r="N6" s="6" t="s">
        <v>69</v>
      </c>
      <c r="O6" s="6" t="s">
        <v>65</v>
      </c>
      <c r="P6" s="6">
        <v>219</v>
      </c>
      <c r="Q6" s="2">
        <v>442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J7" s="9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B8" sqref="B8"/>
    </sheetView>
  </sheetViews>
  <sheetFormatPr defaultRowHeight="15" x14ac:dyDescent="0.25"/>
  <cols>
    <col min="1" max="1" width="12.42578125" customWidth="1"/>
    <col min="2" max="2" width="18.140625" bestFit="1" customWidth="1"/>
    <col min="3" max="3" width="13.28515625" customWidth="1"/>
    <col min="6" max="6" width="21.5703125" bestFit="1" customWidth="1"/>
    <col min="7" max="7" width="9.28515625" bestFit="1" customWidth="1"/>
    <col min="10" max="10" width="9.28515625" bestFit="1" customWidth="1"/>
    <col min="12" max="12" width="8.42578125" customWidth="1"/>
    <col min="14" max="14" width="11.7109375" customWidth="1"/>
    <col min="15" max="15" width="10" customWidth="1"/>
    <col min="18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44503</v>
      </c>
      <c r="B2" s="6" t="s">
        <v>20</v>
      </c>
      <c r="C2" s="6" t="s">
        <v>70</v>
      </c>
      <c r="D2" s="6" t="s">
        <v>21</v>
      </c>
      <c r="E2" s="6" t="s">
        <v>33</v>
      </c>
      <c r="F2" s="6" t="s">
        <v>22</v>
      </c>
      <c r="G2" s="6">
        <v>70000</v>
      </c>
      <c r="H2" s="6" t="s">
        <v>73</v>
      </c>
      <c r="I2" s="6" t="s">
        <v>74</v>
      </c>
      <c r="J2" s="7">
        <v>0.44097222222222227</v>
      </c>
      <c r="K2" s="8">
        <v>0.43055555555555558</v>
      </c>
      <c r="L2" s="7">
        <v>0.32291666666666669</v>
      </c>
      <c r="M2" s="8">
        <v>0.32430555555555557</v>
      </c>
      <c r="N2" s="6" t="s">
        <v>80</v>
      </c>
      <c r="O2" s="6" t="s">
        <v>79</v>
      </c>
      <c r="P2" s="6">
        <v>207</v>
      </c>
      <c r="Q2" s="6">
        <v>305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44503</v>
      </c>
      <c r="B3" s="6" t="s">
        <v>20</v>
      </c>
      <c r="C3" s="6" t="s">
        <v>71</v>
      </c>
      <c r="D3" s="6" t="s">
        <v>21</v>
      </c>
      <c r="E3" s="6" t="s">
        <v>33</v>
      </c>
      <c r="F3" s="6" t="s">
        <v>22</v>
      </c>
      <c r="G3" s="6">
        <v>70000</v>
      </c>
      <c r="H3" s="6" t="s">
        <v>75</v>
      </c>
      <c r="I3" s="6" t="s">
        <v>76</v>
      </c>
      <c r="J3" s="7">
        <v>0.67013888888888884</v>
      </c>
      <c r="K3" s="8">
        <v>0.66666666666666663</v>
      </c>
      <c r="L3" s="7">
        <v>0.46180555555555558</v>
      </c>
      <c r="M3" s="8">
        <v>0.45902777777777781</v>
      </c>
      <c r="N3" s="6" t="s">
        <v>88</v>
      </c>
      <c r="O3" s="6" t="s">
        <v>81</v>
      </c>
      <c r="P3" s="6">
        <v>410</v>
      </c>
      <c r="Q3" s="6">
        <v>529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44503</v>
      </c>
      <c r="B4" s="6" t="s">
        <v>20</v>
      </c>
      <c r="C4" s="6" t="s">
        <v>72</v>
      </c>
      <c r="D4" s="6" t="s">
        <v>21</v>
      </c>
      <c r="E4" s="6" t="s">
        <v>33</v>
      </c>
      <c r="F4" s="6" t="s">
        <v>22</v>
      </c>
      <c r="G4" s="6">
        <v>70000</v>
      </c>
      <c r="H4" s="6" t="s">
        <v>77</v>
      </c>
      <c r="I4" s="6" t="s">
        <v>78</v>
      </c>
      <c r="J4" s="7">
        <v>0.91666666666666663</v>
      </c>
      <c r="K4" s="8">
        <v>0.91666666666666663</v>
      </c>
      <c r="L4" s="7">
        <v>0.71180555555555547</v>
      </c>
      <c r="M4" s="8">
        <v>0.71180555555555547</v>
      </c>
      <c r="N4" s="6" t="s">
        <v>90</v>
      </c>
      <c r="O4" s="6" t="s">
        <v>89</v>
      </c>
      <c r="P4" s="6">
        <v>460</v>
      </c>
      <c r="Q4" s="6">
        <v>857</v>
      </c>
      <c r="R4" s="6">
        <v>0</v>
      </c>
      <c r="S4" s="6">
        <v>0</v>
      </c>
      <c r="T4" s="6">
        <v>0</v>
      </c>
      <c r="U4" s="6">
        <v>0</v>
      </c>
    </row>
    <row r="5" spans="1:21" s="2" customFormat="1" ht="12.75" x14ac:dyDescent="0.2">
      <c r="A5" s="5">
        <v>44503</v>
      </c>
      <c r="B5" s="6" t="s">
        <v>82</v>
      </c>
      <c r="C5" s="6" t="s">
        <v>83</v>
      </c>
      <c r="D5" s="6" t="s">
        <v>21</v>
      </c>
      <c r="E5" s="6" t="s">
        <v>84</v>
      </c>
      <c r="F5" s="6" t="s">
        <v>85</v>
      </c>
      <c r="G5" s="6">
        <v>75000</v>
      </c>
      <c r="H5" s="6" t="s">
        <v>86</v>
      </c>
      <c r="I5" s="6" t="s">
        <v>87</v>
      </c>
      <c r="J5" s="3">
        <v>0.64583333333333337</v>
      </c>
      <c r="K5" s="4">
        <v>0.65833333333333333</v>
      </c>
      <c r="L5" s="3">
        <v>0.77083333333333337</v>
      </c>
      <c r="M5" s="4">
        <v>0.85138888888888886</v>
      </c>
      <c r="N5" s="2" t="s">
        <v>91</v>
      </c>
      <c r="O5" s="2" t="s">
        <v>92</v>
      </c>
      <c r="P5" s="2">
        <v>2038</v>
      </c>
      <c r="Q5" s="2">
        <v>973</v>
      </c>
      <c r="R5" s="2">
        <v>0</v>
      </c>
      <c r="S5" s="2">
        <v>0</v>
      </c>
      <c r="T5" s="2">
        <v>0</v>
      </c>
      <c r="U5" s="2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selection activeCell="J2" sqref="J2"/>
    </sheetView>
  </sheetViews>
  <sheetFormatPr defaultRowHeight="15" x14ac:dyDescent="0.25"/>
  <cols>
    <col min="1" max="1" width="12" customWidth="1"/>
    <col min="3" max="3" width="12.85546875" customWidth="1"/>
    <col min="4" max="4" width="8" customWidth="1"/>
    <col min="6" max="6" width="20.42578125" customWidth="1"/>
    <col min="7" max="7" width="9.28515625" bestFit="1" customWidth="1"/>
    <col min="10" max="10" width="9.28515625" bestFit="1" customWidth="1"/>
    <col min="12" max="12" width="9.28515625" bestFit="1" customWidth="1"/>
    <col min="14" max="14" width="10.28515625" customWidth="1"/>
    <col min="15" max="15" width="9.85546875" customWidth="1"/>
    <col min="16" max="16" width="11.5703125" customWidth="1"/>
    <col min="18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44504</v>
      </c>
      <c r="B2" s="6" t="s">
        <v>20</v>
      </c>
      <c r="C2" s="6" t="s">
        <v>93</v>
      </c>
      <c r="D2" s="6" t="s">
        <v>21</v>
      </c>
      <c r="E2" s="6" t="s">
        <v>33</v>
      </c>
      <c r="F2" s="6" t="s">
        <v>22</v>
      </c>
      <c r="G2" s="6">
        <v>70000</v>
      </c>
      <c r="H2" s="6" t="s">
        <v>94</v>
      </c>
      <c r="I2" s="6" t="s">
        <v>95</v>
      </c>
      <c r="J2" s="7">
        <v>0.75</v>
      </c>
      <c r="K2" s="8">
        <v>0.74097222222222225</v>
      </c>
      <c r="L2" s="7">
        <v>0.37847222222222227</v>
      </c>
      <c r="M2" s="8">
        <v>0.3888888888888889</v>
      </c>
      <c r="N2" s="6" t="s">
        <v>97</v>
      </c>
      <c r="O2" s="6" t="s">
        <v>96</v>
      </c>
      <c r="P2" s="6">
        <v>964</v>
      </c>
      <c r="Q2" s="6">
        <v>733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/>
      <c r="B3" s="6"/>
      <c r="C3" s="6"/>
      <c r="D3" s="6"/>
      <c r="E3" s="6"/>
      <c r="F3" s="6"/>
      <c r="G3" s="6"/>
      <c r="H3" s="6"/>
      <c r="I3" s="6"/>
      <c r="J3" s="7"/>
      <c r="K3" s="6"/>
      <c r="L3" s="7"/>
      <c r="M3" s="6"/>
      <c r="N3" s="6"/>
      <c r="O3" s="6"/>
      <c r="P3" s="6"/>
      <c r="Q3" s="6"/>
      <c r="R3" s="6"/>
      <c r="S3" s="6"/>
      <c r="T3" s="6"/>
      <c r="U3" s="6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C10" sqref="C10"/>
    </sheetView>
  </sheetViews>
  <sheetFormatPr defaultRowHeight="15" x14ac:dyDescent="0.25"/>
  <cols>
    <col min="1" max="1" width="14.28515625" bestFit="1" customWidth="1"/>
    <col min="2" max="2" width="16.140625" customWidth="1"/>
    <col min="3" max="3" width="13.28515625" customWidth="1"/>
    <col min="6" max="6" width="19.7109375" customWidth="1"/>
    <col min="7" max="7" width="9.28515625" bestFit="1" customWidth="1"/>
    <col min="10" max="10" width="9.28515625" bestFit="1" customWidth="1"/>
    <col min="12" max="12" width="8.42578125" customWidth="1"/>
    <col min="14" max="14" width="11.7109375" customWidth="1"/>
    <col min="15" max="15" width="10" customWidth="1"/>
    <col min="18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44505</v>
      </c>
      <c r="B2" s="6" t="s">
        <v>20</v>
      </c>
      <c r="C2" s="6" t="s">
        <v>24</v>
      </c>
      <c r="D2" s="6" t="s">
        <v>21</v>
      </c>
      <c r="E2" s="6" t="s">
        <v>106</v>
      </c>
      <c r="F2" s="6" t="s">
        <v>22</v>
      </c>
      <c r="G2" s="6">
        <v>70000</v>
      </c>
      <c r="H2" s="6" t="s">
        <v>26</v>
      </c>
      <c r="I2" s="6" t="s">
        <v>27</v>
      </c>
      <c r="J2" s="7">
        <v>0.77083333333333337</v>
      </c>
      <c r="K2" s="8">
        <v>0.77847222222222223</v>
      </c>
      <c r="L2" s="7">
        <v>0.31944444444444448</v>
      </c>
      <c r="M2" s="8">
        <v>0.34166666666666662</v>
      </c>
      <c r="N2" s="6" t="s">
        <v>107</v>
      </c>
      <c r="O2" s="6" t="s">
        <v>101</v>
      </c>
      <c r="P2" s="6">
        <v>692</v>
      </c>
      <c r="Q2" s="6">
        <v>1019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44505</v>
      </c>
      <c r="B3" s="6" t="s">
        <v>20</v>
      </c>
      <c r="C3" s="6" t="s">
        <v>28</v>
      </c>
      <c r="D3" s="6" t="s">
        <v>21</v>
      </c>
      <c r="E3" s="6" t="s">
        <v>33</v>
      </c>
      <c r="F3" s="6" t="s">
        <v>22</v>
      </c>
      <c r="G3" s="6">
        <v>70000</v>
      </c>
      <c r="H3" s="6" t="s">
        <v>31</v>
      </c>
      <c r="I3" s="6" t="s">
        <v>30</v>
      </c>
      <c r="J3" s="7">
        <v>0.52083333333333337</v>
      </c>
      <c r="K3" s="8">
        <v>0.52847222222222223</v>
      </c>
      <c r="L3" s="7">
        <v>0.33333333333333331</v>
      </c>
      <c r="M3" s="8">
        <v>0.35694444444444445</v>
      </c>
      <c r="N3" s="6" t="s">
        <v>103</v>
      </c>
      <c r="O3" s="6" t="s">
        <v>102</v>
      </c>
      <c r="P3" s="6">
        <v>659</v>
      </c>
      <c r="Q3" s="6">
        <v>856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44505</v>
      </c>
      <c r="B4" s="6" t="s">
        <v>20</v>
      </c>
      <c r="C4" s="6" t="s">
        <v>98</v>
      </c>
      <c r="D4" s="6" t="s">
        <v>21</v>
      </c>
      <c r="E4" s="6" t="s">
        <v>33</v>
      </c>
      <c r="F4" s="6" t="s">
        <v>22</v>
      </c>
      <c r="G4" s="6">
        <v>70000</v>
      </c>
      <c r="H4" s="6" t="s">
        <v>99</v>
      </c>
      <c r="I4" s="6" t="s">
        <v>100</v>
      </c>
      <c r="J4" s="7">
        <v>0.69444444444444453</v>
      </c>
      <c r="K4" s="8">
        <v>0.69513888888888886</v>
      </c>
      <c r="L4" s="7">
        <v>0.54166666666666663</v>
      </c>
      <c r="M4" s="8">
        <v>0.56180555555555556</v>
      </c>
      <c r="N4" s="6" t="s">
        <v>105</v>
      </c>
      <c r="O4" s="6" t="s">
        <v>104</v>
      </c>
      <c r="P4" s="6">
        <v>293</v>
      </c>
      <c r="Q4" s="6">
        <v>795</v>
      </c>
      <c r="R4" s="6">
        <v>0</v>
      </c>
      <c r="S4" s="6">
        <v>0</v>
      </c>
      <c r="T4" s="6">
        <v>0</v>
      </c>
      <c r="U4" s="6">
        <v>0</v>
      </c>
    </row>
    <row r="5" spans="1:21" s="2" customFormat="1" ht="12.75" x14ac:dyDescent="0.2">
      <c r="A5" s="5"/>
      <c r="B5" s="6"/>
      <c r="C5" s="6"/>
      <c r="D5" s="6"/>
      <c r="E5" s="6"/>
      <c r="F5" s="6"/>
      <c r="G5" s="6"/>
      <c r="H5" s="6"/>
      <c r="I5" s="6"/>
      <c r="J5" s="3"/>
      <c r="K5" s="4"/>
      <c r="L5" s="3"/>
      <c r="M5" s="4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C11" sqref="C11"/>
    </sheetView>
  </sheetViews>
  <sheetFormatPr defaultRowHeight="15" x14ac:dyDescent="0.25"/>
  <cols>
    <col min="2" max="2" width="10.85546875" customWidth="1"/>
    <col min="3" max="3" width="12.28515625" customWidth="1"/>
    <col min="5" max="5" width="13.5703125" customWidth="1"/>
    <col min="6" max="6" width="12" customWidth="1"/>
    <col min="14" max="14" width="14.28515625" customWidth="1"/>
    <col min="15" max="15" width="12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44506</v>
      </c>
      <c r="B2" s="6" t="s">
        <v>20</v>
      </c>
      <c r="C2" s="6" t="s">
        <v>45</v>
      </c>
      <c r="D2" s="6" t="s">
        <v>21</v>
      </c>
      <c r="E2" s="6" t="s">
        <v>108</v>
      </c>
      <c r="F2" s="6" t="s">
        <v>22</v>
      </c>
      <c r="G2" s="6">
        <v>70000</v>
      </c>
      <c r="H2" s="6" t="s">
        <v>50</v>
      </c>
      <c r="I2" s="6" t="s">
        <v>55</v>
      </c>
      <c r="J2" s="10">
        <v>0.50347222222222221</v>
      </c>
      <c r="K2" s="8">
        <v>0.49583333333333335</v>
      </c>
      <c r="L2" s="10">
        <v>0.31944444444444448</v>
      </c>
      <c r="M2" s="8">
        <v>0.32083333333333336</v>
      </c>
      <c r="N2" s="6" t="s">
        <v>110</v>
      </c>
      <c r="O2" s="6" t="s">
        <v>109</v>
      </c>
      <c r="P2" s="6">
        <v>936</v>
      </c>
      <c r="Q2" s="6">
        <v>1054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5">
        <v>44506</v>
      </c>
      <c r="B3" s="6" t="s">
        <v>20</v>
      </c>
      <c r="C3" s="6" t="s">
        <v>46</v>
      </c>
      <c r="D3" s="6" t="s">
        <v>21</v>
      </c>
      <c r="E3" s="6" t="str">
        <f>E2</f>
        <v>HA-LYS</v>
      </c>
      <c r="F3" s="6" t="s">
        <v>22</v>
      </c>
      <c r="G3" s="6">
        <v>70000</v>
      </c>
      <c r="H3" s="6" t="s">
        <v>51</v>
      </c>
      <c r="I3" s="6" t="s">
        <v>56</v>
      </c>
      <c r="J3" s="10">
        <v>0.69791666666666663</v>
      </c>
      <c r="K3" s="8">
        <v>0.70138888888888884</v>
      </c>
      <c r="L3" s="10">
        <v>0.53125</v>
      </c>
      <c r="M3" s="8">
        <v>0.54583333333333328</v>
      </c>
      <c r="N3" s="6" t="s">
        <v>113</v>
      </c>
      <c r="O3" s="6" t="s">
        <v>111</v>
      </c>
      <c r="P3" s="6">
        <v>893</v>
      </c>
      <c r="Q3" s="6">
        <v>1017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44506</v>
      </c>
      <c r="B4" s="6" t="s">
        <v>20</v>
      </c>
      <c r="C4" s="6" t="s">
        <v>47</v>
      </c>
      <c r="D4" s="6" t="s">
        <v>21</v>
      </c>
      <c r="E4" s="6" t="s">
        <v>33</v>
      </c>
      <c r="F4" s="6" t="s">
        <v>22</v>
      </c>
      <c r="G4" s="6">
        <v>70000</v>
      </c>
      <c r="H4" s="6" t="s">
        <v>52</v>
      </c>
      <c r="I4" s="6" t="s">
        <v>57</v>
      </c>
      <c r="J4" s="10">
        <v>0.70833333333333337</v>
      </c>
      <c r="K4" s="8">
        <v>0.77083333333333337</v>
      </c>
      <c r="L4" s="10">
        <v>0.53472222222222221</v>
      </c>
      <c r="M4" s="8">
        <v>0.58194444444444449</v>
      </c>
      <c r="N4" s="6" t="s">
        <v>66</v>
      </c>
      <c r="O4" s="6" t="s">
        <v>112</v>
      </c>
      <c r="P4" s="6">
        <v>879</v>
      </c>
      <c r="Q4" s="6">
        <v>1139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5">
        <v>44506</v>
      </c>
      <c r="B5" s="6" t="s">
        <v>20</v>
      </c>
      <c r="C5" s="6" t="s">
        <v>48</v>
      </c>
      <c r="D5" s="6" t="s">
        <v>21</v>
      </c>
      <c r="E5" s="6" t="str">
        <f>E3</f>
        <v>HA-LYS</v>
      </c>
      <c r="F5" s="6" t="s">
        <v>22</v>
      </c>
      <c r="G5" s="6">
        <v>70000</v>
      </c>
      <c r="H5" s="6" t="s">
        <v>53</v>
      </c>
      <c r="I5" s="6" t="s">
        <v>58</v>
      </c>
      <c r="J5" s="10">
        <v>0.95138888888888884</v>
      </c>
      <c r="K5" s="8">
        <v>0.96805555555555556</v>
      </c>
      <c r="L5" s="10">
        <v>0.71875</v>
      </c>
      <c r="M5" s="8">
        <v>0.74375000000000002</v>
      </c>
      <c r="N5" s="6" t="s">
        <v>115</v>
      </c>
      <c r="O5" s="6" t="s">
        <v>109</v>
      </c>
      <c r="P5" s="6">
        <v>385</v>
      </c>
      <c r="Q5" s="6">
        <v>863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5">
        <v>44506</v>
      </c>
      <c r="B6" s="6" t="s">
        <v>20</v>
      </c>
      <c r="C6" s="6" t="s">
        <v>49</v>
      </c>
      <c r="D6" s="6" t="s">
        <v>21</v>
      </c>
      <c r="E6" s="6" t="str">
        <f>E4</f>
        <v>HA-LPM</v>
      </c>
      <c r="F6" s="6" t="s">
        <v>22</v>
      </c>
      <c r="G6" s="6">
        <v>70000</v>
      </c>
      <c r="H6" s="6" t="s">
        <v>54</v>
      </c>
      <c r="I6" s="6" t="s">
        <v>59</v>
      </c>
      <c r="J6" s="10">
        <v>0.94791666666666663</v>
      </c>
      <c r="K6" s="8">
        <v>1.5972222222222224E-2</v>
      </c>
      <c r="L6" s="10">
        <v>0.72916666666666663</v>
      </c>
      <c r="M6" s="4">
        <v>0.8041666666666667</v>
      </c>
      <c r="N6" s="6" t="s">
        <v>116</v>
      </c>
      <c r="O6" s="6" t="s">
        <v>114</v>
      </c>
      <c r="P6" s="6">
        <v>303</v>
      </c>
      <c r="Q6" s="2">
        <v>844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J7" s="9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workbookViewId="0">
      <selection activeCell="J6" sqref="J6"/>
    </sheetView>
  </sheetViews>
  <sheetFormatPr defaultRowHeight="15" x14ac:dyDescent="0.25"/>
  <cols>
    <col min="1" max="1" width="10.140625" bestFit="1" customWidth="1"/>
    <col min="2" max="2" width="10.85546875" customWidth="1"/>
    <col min="3" max="3" width="12.28515625" customWidth="1"/>
    <col min="4" max="4" width="7.140625" customWidth="1"/>
    <col min="5" max="5" width="8.140625" customWidth="1"/>
    <col min="6" max="6" width="12" customWidth="1"/>
    <col min="10" max="10" width="9.42578125" customWidth="1"/>
    <col min="11" max="11" width="14" customWidth="1"/>
    <col min="12" max="12" width="11" bestFit="1" customWidth="1"/>
    <col min="14" max="14" width="14.28515625" customWidth="1"/>
    <col min="15" max="15" width="12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s="2" customFormat="1" ht="12.75" x14ac:dyDescent="0.2">
      <c r="A2" s="11">
        <v>44507</v>
      </c>
      <c r="B2" s="2" t="s">
        <v>20</v>
      </c>
      <c r="C2" s="2" t="s">
        <v>70</v>
      </c>
      <c r="D2" s="2" t="s">
        <v>21</v>
      </c>
      <c r="E2" s="2" t="s">
        <v>33</v>
      </c>
      <c r="F2" s="2" t="s">
        <v>22</v>
      </c>
      <c r="G2" s="2">
        <v>70000</v>
      </c>
      <c r="H2" s="2" t="s">
        <v>73</v>
      </c>
      <c r="I2" s="2" t="s">
        <v>74</v>
      </c>
      <c r="J2" s="3">
        <v>0.44791666666666669</v>
      </c>
      <c r="K2" s="4">
        <v>0.45208333333333334</v>
      </c>
      <c r="L2" s="3">
        <v>0.3298611111111111</v>
      </c>
      <c r="M2" s="4">
        <v>0.33611111111111108</v>
      </c>
      <c r="N2" s="2" t="s">
        <v>121</v>
      </c>
      <c r="O2" s="2" t="s">
        <v>120</v>
      </c>
      <c r="P2" s="2">
        <v>505</v>
      </c>
      <c r="Q2" s="2">
        <v>600</v>
      </c>
      <c r="R2" s="2">
        <v>0</v>
      </c>
      <c r="S2" s="2">
        <v>0</v>
      </c>
      <c r="T2" s="2">
        <v>0</v>
      </c>
      <c r="U2" s="2">
        <v>0</v>
      </c>
    </row>
    <row r="3" spans="1:21" s="2" customFormat="1" ht="12.75" x14ac:dyDescent="0.2">
      <c r="A3" s="11">
        <v>44507</v>
      </c>
      <c r="B3" s="2" t="s">
        <v>20</v>
      </c>
      <c r="C3" s="2" t="s">
        <v>93</v>
      </c>
      <c r="D3" s="2" t="s">
        <v>21</v>
      </c>
      <c r="E3" s="2" t="s">
        <v>108</v>
      </c>
      <c r="F3" s="2" t="s">
        <v>22</v>
      </c>
      <c r="G3" s="2">
        <v>70000</v>
      </c>
      <c r="H3" s="2" t="s">
        <v>94</v>
      </c>
      <c r="I3" s="2" t="s">
        <v>95</v>
      </c>
      <c r="J3" s="3">
        <v>0.75</v>
      </c>
      <c r="K3" s="4">
        <v>0.74305555555555547</v>
      </c>
      <c r="L3" s="3">
        <v>0.37847222222222227</v>
      </c>
      <c r="M3" s="4">
        <v>0.3840277777777778</v>
      </c>
      <c r="N3" s="2" t="s">
        <v>125</v>
      </c>
      <c r="O3" s="2" t="s">
        <v>122</v>
      </c>
      <c r="P3" s="2">
        <v>793</v>
      </c>
      <c r="Q3" s="2">
        <v>913</v>
      </c>
      <c r="R3" s="2">
        <v>0</v>
      </c>
      <c r="S3" s="2">
        <v>0</v>
      </c>
      <c r="T3" s="2">
        <v>0</v>
      </c>
      <c r="U3" s="2">
        <v>0</v>
      </c>
    </row>
    <row r="4" spans="1:21" s="2" customFormat="1" ht="12.75" x14ac:dyDescent="0.2">
      <c r="A4" s="11">
        <v>44507</v>
      </c>
      <c r="B4" s="2" t="s">
        <v>20</v>
      </c>
      <c r="C4" s="2" t="s">
        <v>71</v>
      </c>
      <c r="D4" s="2" t="s">
        <v>21</v>
      </c>
      <c r="E4" s="2" t="s">
        <v>33</v>
      </c>
      <c r="F4" s="2" t="s">
        <v>22</v>
      </c>
      <c r="G4" s="2">
        <v>70000</v>
      </c>
      <c r="H4" s="2" t="s">
        <v>75</v>
      </c>
      <c r="I4" s="2" t="s">
        <v>76</v>
      </c>
      <c r="J4" s="3">
        <v>0.6875</v>
      </c>
      <c r="K4" s="4">
        <v>0.68194444444444446</v>
      </c>
      <c r="L4" s="3">
        <v>0.47916666666666669</v>
      </c>
      <c r="M4" s="4">
        <v>0.48819444444444443</v>
      </c>
      <c r="N4" s="2" t="s">
        <v>124</v>
      </c>
      <c r="O4" s="2" t="s">
        <v>123</v>
      </c>
      <c r="P4" s="2">
        <v>545</v>
      </c>
      <c r="Q4" s="2">
        <v>631</v>
      </c>
      <c r="R4" s="2">
        <v>0</v>
      </c>
      <c r="S4" s="2">
        <v>0</v>
      </c>
      <c r="T4" s="2">
        <v>0</v>
      </c>
      <c r="U4" s="2">
        <v>0</v>
      </c>
    </row>
    <row r="5" spans="1:21" s="2" customFormat="1" ht="12.75" x14ac:dyDescent="0.2">
      <c r="A5" s="11">
        <v>44507</v>
      </c>
      <c r="B5" s="2" t="s">
        <v>20</v>
      </c>
      <c r="C5" s="2" t="s">
        <v>72</v>
      </c>
      <c r="D5" s="2" t="s">
        <v>21</v>
      </c>
      <c r="E5" s="2" t="s">
        <v>33</v>
      </c>
      <c r="F5" s="2" t="s">
        <v>22</v>
      </c>
      <c r="G5" s="2">
        <v>70000</v>
      </c>
      <c r="H5" s="2" t="s">
        <v>77</v>
      </c>
      <c r="I5" s="2" t="s">
        <v>78</v>
      </c>
      <c r="J5" s="3">
        <v>0.91319444444444453</v>
      </c>
      <c r="K5" s="4" t="s">
        <v>128</v>
      </c>
      <c r="L5" s="3">
        <v>0.70833333333333337</v>
      </c>
      <c r="M5" s="4">
        <v>0.71666666666666667</v>
      </c>
      <c r="O5" s="2" t="s">
        <v>126</v>
      </c>
      <c r="Q5" s="2">
        <v>957</v>
      </c>
      <c r="R5" s="2">
        <v>0</v>
      </c>
      <c r="S5" s="2">
        <v>0</v>
      </c>
      <c r="T5" s="2">
        <v>0</v>
      </c>
      <c r="U5" s="2">
        <v>0</v>
      </c>
    </row>
    <row r="6" spans="1:21" s="2" customFormat="1" ht="12.75" x14ac:dyDescent="0.2">
      <c r="A6" s="11">
        <v>44507</v>
      </c>
      <c r="B6" s="2" t="s">
        <v>20</v>
      </c>
      <c r="C6" s="2" t="s">
        <v>117</v>
      </c>
      <c r="D6" s="2" t="s">
        <v>21</v>
      </c>
      <c r="E6" s="2" t="s">
        <v>108</v>
      </c>
      <c r="F6" s="2" t="s">
        <v>22</v>
      </c>
      <c r="G6" s="2">
        <v>70000</v>
      </c>
      <c r="H6" s="2" t="s">
        <v>119</v>
      </c>
      <c r="I6" s="2" t="s">
        <v>118</v>
      </c>
      <c r="J6" s="3">
        <v>0.95486111111111116</v>
      </c>
      <c r="K6" s="4" t="s">
        <v>128</v>
      </c>
      <c r="L6" s="3">
        <v>0.79166666666666663</v>
      </c>
      <c r="M6" s="4">
        <v>0.7895833333333333</v>
      </c>
      <c r="O6" s="2" t="s">
        <v>127</v>
      </c>
      <c r="Q6" s="2">
        <v>713</v>
      </c>
      <c r="R6" s="2">
        <v>0</v>
      </c>
      <c r="S6" s="2">
        <v>0</v>
      </c>
      <c r="T6" s="2">
        <v>0</v>
      </c>
      <c r="U6" s="2">
        <v>0</v>
      </c>
    </row>
    <row r="7" spans="1:21" s="2" customFormat="1" ht="12.75" x14ac:dyDescent="0.2">
      <c r="A7" s="11"/>
      <c r="J7" s="4"/>
      <c r="L7" s="4"/>
    </row>
    <row r="12" spans="1:21" x14ac:dyDescent="0.25">
      <c r="H12" s="2"/>
      <c r="I12" s="2"/>
    </row>
    <row r="21" spans="8:8" x14ac:dyDescent="0.25">
      <c r="H21" s="2"/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M7" sqref="M7"/>
    </sheetView>
  </sheetViews>
  <sheetFormatPr defaultRowHeight="15" x14ac:dyDescent="0.25"/>
  <cols>
    <col min="2" max="2" width="10.85546875" customWidth="1"/>
    <col min="3" max="3" width="12.28515625" customWidth="1"/>
    <col min="5" max="5" width="13.5703125" customWidth="1"/>
    <col min="6" max="6" width="12" customWidth="1"/>
    <col min="14" max="14" width="14.28515625" customWidth="1"/>
    <col min="15" max="15" width="12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44508</v>
      </c>
      <c r="B2" s="6" t="s">
        <v>20</v>
      </c>
      <c r="C2" s="6" t="s">
        <v>24</v>
      </c>
      <c r="D2" s="6" t="s">
        <v>21</v>
      </c>
      <c r="E2" s="6" t="s">
        <v>132</v>
      </c>
      <c r="F2" s="6" t="s">
        <v>22</v>
      </c>
      <c r="G2" s="6">
        <v>70000</v>
      </c>
      <c r="H2" s="6" t="s">
        <v>26</v>
      </c>
      <c r="I2" s="6" t="s">
        <v>27</v>
      </c>
      <c r="J2" s="7">
        <v>0.77083333333333337</v>
      </c>
      <c r="K2" s="8">
        <v>0.77777777777777779</v>
      </c>
      <c r="L2" s="7">
        <v>0.31944444444444448</v>
      </c>
      <c r="M2" s="8">
        <v>0.47638888888888892</v>
      </c>
      <c r="N2" s="6" t="s">
        <v>139</v>
      </c>
      <c r="O2" s="6" t="s">
        <v>130</v>
      </c>
      <c r="P2" s="6">
        <v>985</v>
      </c>
      <c r="Q2" s="6">
        <v>831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5">
        <v>44508</v>
      </c>
      <c r="B3" s="6" t="s">
        <v>20</v>
      </c>
      <c r="C3" s="6" t="s">
        <v>28</v>
      </c>
      <c r="D3" s="6" t="s">
        <v>21</v>
      </c>
      <c r="E3" s="6" t="s">
        <v>108</v>
      </c>
      <c r="F3" s="6" t="s">
        <v>22</v>
      </c>
      <c r="G3" s="6">
        <v>70000</v>
      </c>
      <c r="H3" s="6" t="s">
        <v>31</v>
      </c>
      <c r="I3" s="6" t="s">
        <v>30</v>
      </c>
      <c r="J3" s="7">
        <v>0.52083333333333337</v>
      </c>
      <c r="K3" s="8">
        <v>0.59861111111111109</v>
      </c>
      <c r="L3" s="7">
        <v>0.33333333333333331</v>
      </c>
      <c r="M3" s="8">
        <v>0.42708333333333331</v>
      </c>
      <c r="N3" s="6" t="s">
        <v>138</v>
      </c>
      <c r="O3" s="6" t="s">
        <v>131</v>
      </c>
      <c r="P3" s="6">
        <v>533</v>
      </c>
      <c r="Q3" s="6">
        <v>787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44508</v>
      </c>
      <c r="B4" s="6" t="s">
        <v>20</v>
      </c>
      <c r="C4" s="6" t="s">
        <v>40</v>
      </c>
      <c r="D4" s="6" t="s">
        <v>21</v>
      </c>
      <c r="E4" s="6" t="s">
        <v>33</v>
      </c>
      <c r="F4" s="6" t="s">
        <v>34</v>
      </c>
      <c r="G4" s="6">
        <v>70000</v>
      </c>
      <c r="H4" s="6" t="s">
        <v>36</v>
      </c>
      <c r="I4" s="6" t="s">
        <v>35</v>
      </c>
      <c r="J4" s="7">
        <v>0.34027777777777773</v>
      </c>
      <c r="K4" s="8">
        <v>0.3354166666666667</v>
      </c>
      <c r="L4" s="7" t="s">
        <v>37</v>
      </c>
      <c r="M4" s="8" t="s">
        <v>37</v>
      </c>
      <c r="N4" s="6">
        <v>0</v>
      </c>
      <c r="O4" s="6">
        <v>0</v>
      </c>
      <c r="P4" s="6">
        <v>0</v>
      </c>
      <c r="Q4" s="6">
        <v>0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5">
        <v>44508</v>
      </c>
      <c r="B5" s="6" t="s">
        <v>20</v>
      </c>
      <c r="C5" s="6" t="s">
        <v>40</v>
      </c>
      <c r="D5" s="6" t="s">
        <v>21</v>
      </c>
      <c r="E5" s="6" t="s">
        <v>108</v>
      </c>
      <c r="F5" s="6" t="s">
        <v>34</v>
      </c>
      <c r="G5" s="6">
        <v>70000</v>
      </c>
      <c r="H5" s="6" t="s">
        <v>129</v>
      </c>
      <c r="I5" s="6" t="s">
        <v>35</v>
      </c>
      <c r="J5" s="7">
        <v>0.3923611111111111</v>
      </c>
      <c r="K5" s="8">
        <v>0.38680555555555557</v>
      </c>
      <c r="L5" s="7" t="s">
        <v>37</v>
      </c>
      <c r="M5" s="8" t="s">
        <v>37</v>
      </c>
      <c r="N5" s="6">
        <v>0</v>
      </c>
      <c r="O5" s="6">
        <v>0</v>
      </c>
      <c r="P5" s="6">
        <v>0</v>
      </c>
      <c r="Q5" s="6">
        <v>0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5">
        <v>44508</v>
      </c>
      <c r="B6" s="6" t="s">
        <v>20</v>
      </c>
      <c r="C6" s="6" t="s">
        <v>133</v>
      </c>
      <c r="D6" s="6" t="s">
        <v>21</v>
      </c>
      <c r="E6" s="6" t="s">
        <v>33</v>
      </c>
      <c r="F6" s="6" t="s">
        <v>34</v>
      </c>
      <c r="G6" s="6">
        <v>70000</v>
      </c>
      <c r="H6" s="6" t="s">
        <v>136</v>
      </c>
      <c r="I6" s="6" t="s">
        <v>35</v>
      </c>
      <c r="J6" s="3">
        <v>0.68055555555555547</v>
      </c>
      <c r="K6" s="8">
        <v>0.69027777777777777</v>
      </c>
      <c r="L6" s="3" t="s">
        <v>37</v>
      </c>
      <c r="M6" s="4" t="s">
        <v>35</v>
      </c>
      <c r="N6" s="6">
        <v>0</v>
      </c>
      <c r="O6" s="6">
        <v>0</v>
      </c>
      <c r="P6" s="6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</row>
    <row r="7" spans="1:21" s="12" customFormat="1" x14ac:dyDescent="0.25">
      <c r="A7" s="5">
        <v>44508</v>
      </c>
      <c r="B7" s="6" t="s">
        <v>20</v>
      </c>
      <c r="C7" s="6" t="s">
        <v>134</v>
      </c>
      <c r="D7" s="6" t="s">
        <v>21</v>
      </c>
      <c r="E7" s="6" t="s">
        <v>135</v>
      </c>
      <c r="F7" s="6" t="s">
        <v>34</v>
      </c>
      <c r="G7" s="6">
        <v>70000</v>
      </c>
      <c r="H7" s="6" t="s">
        <v>35</v>
      </c>
      <c r="I7" s="6" t="s">
        <v>137</v>
      </c>
      <c r="J7" s="3" t="s">
        <v>35</v>
      </c>
      <c r="K7" s="4" t="s">
        <v>35</v>
      </c>
      <c r="L7" s="3">
        <v>0.79166666666666663</v>
      </c>
      <c r="M7" s="8">
        <v>0.80555555555555547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M11" sqref="M11"/>
    </sheetView>
  </sheetViews>
  <sheetFormatPr defaultRowHeight="15" x14ac:dyDescent="0.25"/>
  <cols>
    <col min="3" max="3" width="13.42578125" bestFit="1" customWidth="1"/>
    <col min="6" max="6" width="10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44509</v>
      </c>
      <c r="B2" s="6" t="s">
        <v>20</v>
      </c>
      <c r="C2" s="6" t="s">
        <v>45</v>
      </c>
      <c r="D2" s="6" t="s">
        <v>21</v>
      </c>
      <c r="E2" s="6" t="s">
        <v>108</v>
      </c>
      <c r="F2" s="6" t="s">
        <v>22</v>
      </c>
      <c r="G2" s="6">
        <v>70000</v>
      </c>
      <c r="H2" s="6" t="s">
        <v>50</v>
      </c>
      <c r="I2" s="6" t="s">
        <v>55</v>
      </c>
      <c r="J2" s="10">
        <v>0.50347222222222221</v>
      </c>
      <c r="K2" s="8">
        <v>0.50138888888888888</v>
      </c>
      <c r="L2" s="10">
        <v>0.31944444444444448</v>
      </c>
      <c r="M2" s="8">
        <v>0.32361111111111113</v>
      </c>
      <c r="N2" s="6" t="s">
        <v>141</v>
      </c>
      <c r="O2" s="6" t="s">
        <v>140</v>
      </c>
      <c r="P2" s="6">
        <v>645</v>
      </c>
      <c r="Q2" s="6">
        <v>765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5">
        <v>44509</v>
      </c>
      <c r="B3" s="6" t="s">
        <v>20</v>
      </c>
      <c r="C3" s="6" t="s">
        <v>46</v>
      </c>
      <c r="D3" s="6" t="s">
        <v>21</v>
      </c>
      <c r="E3" s="6" t="s">
        <v>33</v>
      </c>
      <c r="F3" s="6" t="s">
        <v>22</v>
      </c>
      <c r="G3" s="6">
        <v>70000</v>
      </c>
      <c r="H3" s="6" t="s">
        <v>51</v>
      </c>
      <c r="I3" s="6" t="s">
        <v>56</v>
      </c>
      <c r="J3" s="10">
        <v>0.69791666666666663</v>
      </c>
      <c r="K3" s="8">
        <v>0.70347222222222217</v>
      </c>
      <c r="L3" s="10">
        <v>0.53125</v>
      </c>
      <c r="M3" s="8">
        <v>0.54652777777777783</v>
      </c>
      <c r="N3" s="6" t="s">
        <v>144</v>
      </c>
      <c r="O3" s="6" t="s">
        <v>142</v>
      </c>
      <c r="P3" s="6">
        <v>383</v>
      </c>
      <c r="Q3" s="6">
        <v>731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44509</v>
      </c>
      <c r="B4" s="6" t="s">
        <v>20</v>
      </c>
      <c r="C4" s="6" t="s">
        <v>47</v>
      </c>
      <c r="D4" s="6" t="s">
        <v>21</v>
      </c>
      <c r="E4" s="6" t="s">
        <v>108</v>
      </c>
      <c r="F4" s="6" t="s">
        <v>22</v>
      </c>
      <c r="G4" s="6">
        <v>70000</v>
      </c>
      <c r="H4" s="6" t="s">
        <v>52</v>
      </c>
      <c r="I4" s="6" t="s">
        <v>57</v>
      </c>
      <c r="J4" s="10">
        <v>0.70833333333333337</v>
      </c>
      <c r="K4" s="8">
        <v>0.7416666666666667</v>
      </c>
      <c r="L4" s="10">
        <v>0.53472222222222221</v>
      </c>
      <c r="M4" s="8">
        <v>0.56874999999999998</v>
      </c>
      <c r="N4" s="6" t="s">
        <v>145</v>
      </c>
      <c r="O4" s="6" t="s">
        <v>143</v>
      </c>
      <c r="P4" s="6">
        <v>444</v>
      </c>
      <c r="Q4" s="6">
        <v>688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5">
        <v>44509</v>
      </c>
      <c r="B5" s="6" t="s">
        <v>20</v>
      </c>
      <c r="C5" s="6" t="s">
        <v>48</v>
      </c>
      <c r="D5" s="6" t="s">
        <v>21</v>
      </c>
      <c r="E5" s="6" t="s">
        <v>33</v>
      </c>
      <c r="F5" s="6" t="s">
        <v>22</v>
      </c>
      <c r="G5" s="6">
        <v>70000</v>
      </c>
      <c r="H5" s="6" t="s">
        <v>53</v>
      </c>
      <c r="I5" s="6" t="s">
        <v>58</v>
      </c>
      <c r="J5" s="10">
        <v>0.95138888888888884</v>
      </c>
      <c r="K5" s="8">
        <v>0.95763888888888893</v>
      </c>
      <c r="L5" s="10">
        <v>0.71875</v>
      </c>
      <c r="M5" s="8">
        <v>0.73958333333333337</v>
      </c>
      <c r="N5" s="6" t="s">
        <v>148</v>
      </c>
      <c r="O5" s="6" t="s">
        <v>146</v>
      </c>
      <c r="P5" s="6">
        <v>168</v>
      </c>
      <c r="Q5" s="6">
        <v>1105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5">
        <v>44509</v>
      </c>
      <c r="B6" s="6" t="s">
        <v>20</v>
      </c>
      <c r="C6" s="6" t="s">
        <v>49</v>
      </c>
      <c r="D6" s="6" t="s">
        <v>21</v>
      </c>
      <c r="E6" s="6" t="s">
        <v>108</v>
      </c>
      <c r="F6" s="6" t="s">
        <v>22</v>
      </c>
      <c r="G6" s="6">
        <v>70000</v>
      </c>
      <c r="H6" s="6" t="s">
        <v>54</v>
      </c>
      <c r="I6" s="6" t="s">
        <v>59</v>
      </c>
      <c r="J6" s="10">
        <v>0.94791666666666663</v>
      </c>
      <c r="K6" s="8">
        <v>0.96736111111111101</v>
      </c>
      <c r="L6" s="10">
        <v>0.72916666666666663</v>
      </c>
      <c r="M6" s="4">
        <v>0.76666666666666661</v>
      </c>
      <c r="N6" s="6" t="s">
        <v>149</v>
      </c>
      <c r="O6" s="6" t="s">
        <v>147</v>
      </c>
      <c r="P6" s="6">
        <v>295</v>
      </c>
      <c r="Q6" s="2">
        <v>345</v>
      </c>
      <c r="R6" s="2">
        <v>0</v>
      </c>
      <c r="S6" s="2">
        <v>0</v>
      </c>
      <c r="T6" s="2">
        <v>0</v>
      </c>
      <c r="U6" s="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activeCell="D6" sqref="D6"/>
    </sheetView>
  </sheetViews>
  <sheetFormatPr defaultRowHeight="15" x14ac:dyDescent="0.25"/>
  <cols>
    <col min="3" max="3" width="11.42578125" customWidth="1"/>
    <col min="6" max="6" width="10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44510</v>
      </c>
      <c r="B2" s="6" t="s">
        <v>20</v>
      </c>
      <c r="C2" s="6" t="s">
        <v>70</v>
      </c>
      <c r="D2" s="6" t="s">
        <v>21</v>
      </c>
      <c r="E2" s="6" t="s">
        <v>33</v>
      </c>
      <c r="F2" s="6" t="s">
        <v>22</v>
      </c>
      <c r="G2" s="6">
        <v>70000</v>
      </c>
      <c r="H2" s="6" t="s">
        <v>73</v>
      </c>
      <c r="I2" s="6" t="s">
        <v>74</v>
      </c>
      <c r="J2" s="7">
        <v>0.44097222222222227</v>
      </c>
      <c r="K2" s="8">
        <v>0.43958333333333338</v>
      </c>
      <c r="L2" s="7">
        <v>0.32291666666666669</v>
      </c>
      <c r="M2" s="8">
        <v>0.32361111111111113</v>
      </c>
      <c r="N2" s="6" t="s">
        <v>151</v>
      </c>
      <c r="O2" s="6" t="s">
        <v>150</v>
      </c>
      <c r="P2" s="6">
        <v>330</v>
      </c>
      <c r="Q2" s="6">
        <v>202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44510</v>
      </c>
      <c r="B3" s="6" t="s">
        <v>20</v>
      </c>
      <c r="C3" s="6" t="s">
        <v>71</v>
      </c>
      <c r="D3" s="6" t="s">
        <v>21</v>
      </c>
      <c r="E3" s="6" t="s">
        <v>33</v>
      </c>
      <c r="F3" s="6" t="s">
        <v>22</v>
      </c>
      <c r="G3" s="6">
        <v>70000</v>
      </c>
      <c r="H3" s="6" t="s">
        <v>75</v>
      </c>
      <c r="I3" s="6" t="s">
        <v>76</v>
      </c>
      <c r="J3" s="7">
        <v>0.67013888888888884</v>
      </c>
      <c r="K3" s="8">
        <v>0.66597222222222219</v>
      </c>
      <c r="L3" s="7">
        <v>0.46180555555555558</v>
      </c>
      <c r="M3" s="8">
        <v>0.46458333333333335</v>
      </c>
      <c r="N3" s="6" t="s">
        <v>101</v>
      </c>
      <c r="O3" s="6" t="s">
        <v>152</v>
      </c>
      <c r="P3" s="6">
        <v>382</v>
      </c>
      <c r="Q3" s="6">
        <v>539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44510</v>
      </c>
      <c r="B4" s="6" t="s">
        <v>20</v>
      </c>
      <c r="C4" s="6" t="s">
        <v>72</v>
      </c>
      <c r="D4" s="6" t="s">
        <v>21</v>
      </c>
      <c r="E4" s="6" t="s">
        <v>108</v>
      </c>
      <c r="F4" s="6" t="s">
        <v>22</v>
      </c>
      <c r="G4" s="6">
        <v>70000</v>
      </c>
      <c r="H4" s="6" t="s">
        <v>77</v>
      </c>
      <c r="I4" s="6" t="s">
        <v>78</v>
      </c>
      <c r="J4" s="7">
        <v>0.91666666666666663</v>
      </c>
      <c r="K4" s="8">
        <v>0.91805555555555562</v>
      </c>
      <c r="L4" s="7">
        <v>0.71180555555555547</v>
      </c>
      <c r="M4" s="8">
        <v>0.71458333333333324</v>
      </c>
      <c r="N4" s="6" t="s">
        <v>154</v>
      </c>
      <c r="O4" s="6" t="s">
        <v>153</v>
      </c>
      <c r="P4" s="6">
        <v>418</v>
      </c>
      <c r="Q4" s="6">
        <v>972</v>
      </c>
      <c r="R4" s="6">
        <v>0</v>
      </c>
      <c r="S4" s="6">
        <v>0</v>
      </c>
      <c r="T4" s="6">
        <v>0</v>
      </c>
      <c r="U4" s="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selection activeCell="E9" sqref="E9"/>
    </sheetView>
  </sheetViews>
  <sheetFormatPr defaultRowHeight="15" x14ac:dyDescent="0.25"/>
  <cols>
    <col min="1" max="1" width="12" customWidth="1"/>
    <col min="3" max="3" width="15.28515625" customWidth="1"/>
    <col min="4" max="4" width="6.42578125" customWidth="1"/>
    <col min="6" max="6" width="11.85546875" customWidth="1"/>
    <col min="7" max="7" width="9.28515625" bestFit="1" customWidth="1"/>
    <col min="10" max="10" width="9.28515625" bestFit="1" customWidth="1"/>
    <col min="12" max="12" width="9.28515625" bestFit="1" customWidth="1"/>
    <col min="14" max="14" width="10.28515625" customWidth="1"/>
    <col min="15" max="15" width="9.85546875" customWidth="1"/>
    <col min="16" max="16" width="11.5703125" customWidth="1"/>
    <col min="18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44511</v>
      </c>
      <c r="B2" s="6" t="s">
        <v>20</v>
      </c>
      <c r="C2" s="6" t="s">
        <v>93</v>
      </c>
      <c r="D2" s="6" t="s">
        <v>21</v>
      </c>
      <c r="E2" s="6" t="s">
        <v>33</v>
      </c>
      <c r="F2" s="6" t="s">
        <v>22</v>
      </c>
      <c r="G2" s="6">
        <v>70000</v>
      </c>
      <c r="H2" s="6" t="s">
        <v>94</v>
      </c>
      <c r="I2" s="6" t="s">
        <v>95</v>
      </c>
      <c r="J2" s="7">
        <v>0.75</v>
      </c>
      <c r="K2" s="8">
        <v>0.73611111111111116</v>
      </c>
      <c r="L2" s="7">
        <v>0.37847222222222227</v>
      </c>
      <c r="M2" s="8">
        <v>0.37916666666666665</v>
      </c>
      <c r="N2" s="6" t="s">
        <v>97</v>
      </c>
      <c r="O2" s="6" t="s">
        <v>155</v>
      </c>
      <c r="P2" s="6">
        <v>757</v>
      </c>
      <c r="Q2" s="6">
        <v>706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/>
      <c r="B3" s="6"/>
      <c r="C3" s="6"/>
      <c r="D3" s="6"/>
      <c r="E3" s="6"/>
      <c r="F3" s="6"/>
      <c r="G3" s="6"/>
      <c r="H3" s="6"/>
      <c r="I3" s="6"/>
      <c r="J3" s="7"/>
      <c r="K3" s="6"/>
      <c r="L3" s="7"/>
      <c r="M3" s="6"/>
      <c r="N3" s="6"/>
      <c r="O3" s="6"/>
      <c r="P3" s="6"/>
      <c r="Q3" s="6"/>
      <c r="R3" s="6"/>
      <c r="S3" s="6"/>
      <c r="T3" s="6"/>
      <c r="U3" s="6"/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activeCell="E8" sqref="E8"/>
    </sheetView>
  </sheetViews>
  <sheetFormatPr defaultRowHeight="15" x14ac:dyDescent="0.25"/>
  <cols>
    <col min="3" max="3" width="13.28515625" bestFit="1" customWidth="1"/>
    <col min="5" max="5" width="14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44512</v>
      </c>
      <c r="B2" s="6" t="s">
        <v>20</v>
      </c>
      <c r="C2" s="6" t="s">
        <v>24</v>
      </c>
      <c r="D2" s="6" t="s">
        <v>21</v>
      </c>
      <c r="E2" s="6" t="s">
        <v>156</v>
      </c>
      <c r="F2" s="6" t="s">
        <v>22</v>
      </c>
      <c r="G2" s="6">
        <v>70000</v>
      </c>
      <c r="H2" s="6" t="s">
        <v>26</v>
      </c>
      <c r="I2" s="6" t="s">
        <v>27</v>
      </c>
      <c r="J2" s="7">
        <v>0.77083333333333337</v>
      </c>
      <c r="K2" s="8">
        <v>0.77569444444444446</v>
      </c>
      <c r="L2" s="7">
        <v>0.31944444444444448</v>
      </c>
      <c r="M2" s="8">
        <v>0.33055555555555555</v>
      </c>
      <c r="N2" s="6" t="s">
        <v>162</v>
      </c>
      <c r="O2" s="6" t="s">
        <v>97</v>
      </c>
      <c r="P2" s="6">
        <v>770</v>
      </c>
      <c r="Q2" s="6">
        <v>855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44512</v>
      </c>
      <c r="B3" s="6" t="s">
        <v>20</v>
      </c>
      <c r="C3" s="6" t="s">
        <v>28</v>
      </c>
      <c r="D3" s="6" t="s">
        <v>21</v>
      </c>
      <c r="E3" s="6" t="s">
        <v>108</v>
      </c>
      <c r="F3" s="6" t="s">
        <v>22</v>
      </c>
      <c r="G3" s="6">
        <v>70000</v>
      </c>
      <c r="H3" s="6" t="s">
        <v>31</v>
      </c>
      <c r="I3" s="6" t="s">
        <v>30</v>
      </c>
      <c r="J3" s="7">
        <v>0.52083333333333337</v>
      </c>
      <c r="K3" s="8">
        <v>0.52569444444444446</v>
      </c>
      <c r="L3" s="7">
        <v>0.33333333333333331</v>
      </c>
      <c r="M3" s="8">
        <v>0.3527777777777778</v>
      </c>
      <c r="N3" s="6" t="s">
        <v>158</v>
      </c>
      <c r="O3" s="6" t="s">
        <v>157</v>
      </c>
      <c r="P3" s="6">
        <v>842</v>
      </c>
      <c r="Q3" s="6">
        <v>943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44512</v>
      </c>
      <c r="B4" s="6" t="s">
        <v>20</v>
      </c>
      <c r="C4" s="6" t="s">
        <v>98</v>
      </c>
      <c r="D4" s="6" t="s">
        <v>21</v>
      </c>
      <c r="E4" s="6" t="s">
        <v>108</v>
      </c>
      <c r="F4" s="6" t="s">
        <v>22</v>
      </c>
      <c r="G4" s="6">
        <v>70000</v>
      </c>
      <c r="H4" s="6" t="s">
        <v>99</v>
      </c>
      <c r="I4" s="6" t="s">
        <v>100</v>
      </c>
      <c r="J4" s="7">
        <v>0.69444444444444453</v>
      </c>
      <c r="K4" s="8">
        <v>0.69236111111111109</v>
      </c>
      <c r="L4" s="7">
        <v>0.54166666666666663</v>
      </c>
      <c r="M4" s="8">
        <v>0.55208333333333337</v>
      </c>
      <c r="N4" s="6" t="s">
        <v>161</v>
      </c>
      <c r="O4" s="6" t="s">
        <v>159</v>
      </c>
      <c r="P4" s="6">
        <v>515</v>
      </c>
      <c r="Q4" s="6">
        <v>493</v>
      </c>
      <c r="R4" s="6">
        <v>0</v>
      </c>
      <c r="S4" s="6">
        <v>0</v>
      </c>
      <c r="T4" s="6">
        <v>0</v>
      </c>
      <c r="U4" s="6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opLeftCell="E1" workbookViewId="0">
      <selection activeCell="J11" sqref="J11"/>
    </sheetView>
  </sheetViews>
  <sheetFormatPr defaultRowHeight="15" x14ac:dyDescent="0.25"/>
  <cols>
    <col min="1" max="1" width="10.140625" bestFit="1" customWidth="1"/>
    <col min="2" max="2" width="21.85546875" bestFit="1" customWidth="1"/>
    <col min="3" max="3" width="13.42578125" bestFit="1" customWidth="1"/>
    <col min="6" max="6" width="11" customWidth="1"/>
    <col min="15" max="15" width="18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44513</v>
      </c>
      <c r="B2" s="6" t="s">
        <v>20</v>
      </c>
      <c r="C2" s="6" t="s">
        <v>45</v>
      </c>
      <c r="D2" s="6" t="s">
        <v>21</v>
      </c>
      <c r="E2" s="6" t="s">
        <v>108</v>
      </c>
      <c r="F2" s="6" t="s">
        <v>22</v>
      </c>
      <c r="G2" s="6">
        <v>70000</v>
      </c>
      <c r="H2" s="6" t="s">
        <v>50</v>
      </c>
      <c r="I2" s="6" t="s">
        <v>55</v>
      </c>
      <c r="J2" s="10">
        <v>0.50347222222222221</v>
      </c>
      <c r="K2" s="8">
        <v>0.50486111111111109</v>
      </c>
      <c r="L2" s="10">
        <v>0.31944444444444448</v>
      </c>
      <c r="M2" s="8">
        <v>0.3298611111111111</v>
      </c>
      <c r="N2" s="6" t="s">
        <v>168</v>
      </c>
      <c r="O2" s="6" t="s">
        <v>110</v>
      </c>
      <c r="P2" s="6">
        <v>614</v>
      </c>
      <c r="Q2" s="6">
        <v>1122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5">
        <v>44513</v>
      </c>
      <c r="B3" s="6" t="s">
        <v>20</v>
      </c>
      <c r="C3" s="6" t="s">
        <v>46</v>
      </c>
      <c r="D3" s="6" t="s">
        <v>21</v>
      </c>
      <c r="E3" s="6" t="s">
        <v>160</v>
      </c>
      <c r="F3" s="6" t="s">
        <v>22</v>
      </c>
      <c r="G3" s="6">
        <v>70000</v>
      </c>
      <c r="H3" s="6" t="s">
        <v>51</v>
      </c>
      <c r="I3" s="6" t="s">
        <v>56</v>
      </c>
      <c r="J3" s="10">
        <v>0.69791666666666663</v>
      </c>
      <c r="K3" s="8">
        <v>0.70486111111111116</v>
      </c>
      <c r="L3" s="10">
        <v>0.53125</v>
      </c>
      <c r="M3" s="8">
        <v>0.54583333333333328</v>
      </c>
      <c r="N3" s="6" t="s">
        <v>173</v>
      </c>
      <c r="O3" s="6" t="s">
        <v>171</v>
      </c>
      <c r="P3" s="6">
        <v>917</v>
      </c>
      <c r="Q3" s="6">
        <v>1166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44513</v>
      </c>
      <c r="B4" s="6" t="s">
        <v>20</v>
      </c>
      <c r="C4" s="6" t="s">
        <v>47</v>
      </c>
      <c r="D4" s="6" t="s">
        <v>21</v>
      </c>
      <c r="E4" s="6" t="s">
        <v>108</v>
      </c>
      <c r="F4" s="6" t="s">
        <v>22</v>
      </c>
      <c r="G4" s="6">
        <v>70000</v>
      </c>
      <c r="H4" s="6" t="s">
        <v>52</v>
      </c>
      <c r="I4" s="6" t="s">
        <v>57</v>
      </c>
      <c r="J4" s="10">
        <v>0.70833333333333337</v>
      </c>
      <c r="K4" s="8">
        <v>0.73125000000000007</v>
      </c>
      <c r="L4" s="10">
        <v>0.53472222222222221</v>
      </c>
      <c r="M4" s="8">
        <v>0.56180555555555556</v>
      </c>
      <c r="N4" s="6" t="s">
        <v>174</v>
      </c>
      <c r="O4" s="6" t="s">
        <v>172</v>
      </c>
      <c r="P4" s="6">
        <v>670</v>
      </c>
      <c r="Q4" s="6">
        <v>1389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5">
        <v>44513</v>
      </c>
      <c r="B5" s="6" t="s">
        <v>20</v>
      </c>
      <c r="C5" s="6" t="s">
        <v>48</v>
      </c>
      <c r="D5" s="6" t="s">
        <v>21</v>
      </c>
      <c r="E5" s="6" t="s">
        <v>160</v>
      </c>
      <c r="F5" s="6" t="s">
        <v>22</v>
      </c>
      <c r="G5" s="6">
        <v>70000</v>
      </c>
      <c r="H5" s="6" t="s">
        <v>53</v>
      </c>
      <c r="I5" s="6" t="s">
        <v>58</v>
      </c>
      <c r="J5" s="10">
        <v>0.95138888888888884</v>
      </c>
      <c r="K5" s="8">
        <v>0.95486111111111116</v>
      </c>
      <c r="L5" s="10">
        <v>0.71875</v>
      </c>
      <c r="M5" s="8">
        <v>0.74097222222222225</v>
      </c>
      <c r="N5" s="6" t="s">
        <v>176</v>
      </c>
      <c r="O5" s="6" t="s">
        <v>158</v>
      </c>
      <c r="P5" s="6">
        <v>311</v>
      </c>
      <c r="Q5" s="6">
        <v>976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5">
        <v>44513</v>
      </c>
      <c r="B6" s="6" t="s">
        <v>20</v>
      </c>
      <c r="C6" s="6" t="s">
        <v>49</v>
      </c>
      <c r="D6" s="6" t="s">
        <v>21</v>
      </c>
      <c r="E6" s="6" t="str">
        <f>E4</f>
        <v>HA-LYS</v>
      </c>
      <c r="F6" s="6" t="s">
        <v>22</v>
      </c>
      <c r="G6" s="6">
        <v>70000</v>
      </c>
      <c r="H6" s="6" t="s">
        <v>54</v>
      </c>
      <c r="I6" s="6" t="s">
        <v>59</v>
      </c>
      <c r="J6" s="10">
        <v>0.94791666666666663</v>
      </c>
      <c r="K6" s="8">
        <v>0.9902777777777777</v>
      </c>
      <c r="L6" s="10">
        <v>0.72916666666666663</v>
      </c>
      <c r="M6" s="4">
        <v>0.79305555555555562</v>
      </c>
      <c r="N6" s="6" t="s">
        <v>177</v>
      </c>
      <c r="O6" s="6" t="s">
        <v>175</v>
      </c>
      <c r="P6" s="6">
        <v>294</v>
      </c>
      <c r="Q6" s="2">
        <v>651</v>
      </c>
      <c r="R6" s="2">
        <v>0</v>
      </c>
      <c r="S6" s="2">
        <v>0</v>
      </c>
      <c r="T6" s="2">
        <v>0</v>
      </c>
      <c r="U6" s="2">
        <v>0</v>
      </c>
    </row>
    <row r="7" spans="1:21" s="2" customFormat="1" ht="12.75" x14ac:dyDescent="0.2">
      <c r="A7" s="11">
        <v>44513</v>
      </c>
      <c r="B7" s="2" t="s">
        <v>163</v>
      </c>
      <c r="C7" s="2" t="s">
        <v>164</v>
      </c>
      <c r="D7" s="2" t="s">
        <v>165</v>
      </c>
      <c r="E7" s="2" t="s">
        <v>166</v>
      </c>
      <c r="F7" s="2" t="s">
        <v>167</v>
      </c>
      <c r="G7" s="13">
        <v>21863</v>
      </c>
      <c r="H7" s="2" t="s">
        <v>169</v>
      </c>
      <c r="I7" s="2" t="s">
        <v>170</v>
      </c>
      <c r="J7" s="3">
        <v>0.3611111111111111</v>
      </c>
      <c r="K7" s="4">
        <v>0.3659722222222222</v>
      </c>
      <c r="L7" s="3">
        <v>0.40277777777777773</v>
      </c>
      <c r="M7" s="4">
        <v>0.39583333333333331</v>
      </c>
      <c r="N7" s="2">
        <v>0</v>
      </c>
      <c r="O7" s="2">
        <v>1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workbookViewId="0">
      <selection activeCell="C13" sqref="C13"/>
    </sheetView>
  </sheetViews>
  <sheetFormatPr defaultRowHeight="15" x14ac:dyDescent="0.25"/>
  <cols>
    <col min="1" max="1" width="9.85546875" customWidth="1"/>
    <col min="2" max="2" width="22.5703125" customWidth="1"/>
    <col min="3" max="3" width="15.85546875" bestFit="1" customWidth="1"/>
    <col min="4" max="4" width="7.140625" customWidth="1"/>
    <col min="5" max="5" width="8.140625" customWidth="1"/>
    <col min="6" max="6" width="14.28515625" customWidth="1"/>
    <col min="10" max="10" width="9.42578125" customWidth="1"/>
    <col min="11" max="11" width="10.28515625" customWidth="1"/>
    <col min="12" max="12" width="11" bestFit="1" customWidth="1"/>
    <col min="13" max="13" width="7.5703125" customWidth="1"/>
    <col min="14" max="14" width="9.42578125" customWidth="1"/>
    <col min="15" max="15" width="12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s="2" customFormat="1" ht="12.75" x14ac:dyDescent="0.2">
      <c r="A2" s="11">
        <v>44514</v>
      </c>
      <c r="B2" s="2" t="s">
        <v>20</v>
      </c>
      <c r="C2" s="2" t="s">
        <v>70</v>
      </c>
      <c r="D2" s="2" t="s">
        <v>21</v>
      </c>
      <c r="E2" s="2" t="s">
        <v>108</v>
      </c>
      <c r="F2" s="2" t="s">
        <v>22</v>
      </c>
      <c r="G2" s="2">
        <v>70000</v>
      </c>
      <c r="H2" s="2" t="s">
        <v>73</v>
      </c>
      <c r="I2" s="2" t="s">
        <v>74</v>
      </c>
      <c r="J2" s="3">
        <v>0.44791666666666669</v>
      </c>
      <c r="K2" s="4">
        <v>0.46666666666666662</v>
      </c>
      <c r="L2" s="3">
        <v>0.3298611111111111</v>
      </c>
      <c r="M2" s="4">
        <v>0.35972222222222222</v>
      </c>
      <c r="N2" s="2" t="s">
        <v>184</v>
      </c>
      <c r="O2" s="2" t="s">
        <v>183</v>
      </c>
      <c r="P2" s="2">
        <v>303</v>
      </c>
      <c r="Q2" s="2">
        <v>240</v>
      </c>
      <c r="R2" s="2">
        <v>0</v>
      </c>
      <c r="S2" s="2">
        <v>0</v>
      </c>
      <c r="T2" s="2">
        <v>0</v>
      </c>
      <c r="U2" s="2">
        <v>0</v>
      </c>
    </row>
    <row r="3" spans="1:21" s="2" customFormat="1" ht="12.75" x14ac:dyDescent="0.2">
      <c r="A3" s="11">
        <v>44514</v>
      </c>
      <c r="B3" s="2" t="s">
        <v>20</v>
      </c>
      <c r="C3" s="2" t="s">
        <v>93</v>
      </c>
      <c r="D3" s="2" t="s">
        <v>21</v>
      </c>
      <c r="E3" s="2" t="s">
        <v>160</v>
      </c>
      <c r="F3" s="2" t="s">
        <v>22</v>
      </c>
      <c r="G3" s="2">
        <v>70000</v>
      </c>
      <c r="H3" s="2" t="s">
        <v>94</v>
      </c>
      <c r="I3" s="2" t="s">
        <v>95</v>
      </c>
      <c r="J3" s="3">
        <v>0.75</v>
      </c>
      <c r="K3" s="4">
        <v>0.74097222222222225</v>
      </c>
      <c r="L3" s="3">
        <v>0.37847222222222227</v>
      </c>
      <c r="M3" s="4">
        <v>0.39861111111111108</v>
      </c>
      <c r="N3" s="2" t="s">
        <v>113</v>
      </c>
      <c r="O3" s="2" t="s">
        <v>185</v>
      </c>
      <c r="P3" s="2">
        <v>994</v>
      </c>
      <c r="Q3" s="2">
        <v>960</v>
      </c>
      <c r="R3" s="2">
        <v>0</v>
      </c>
      <c r="S3" s="2">
        <v>0</v>
      </c>
      <c r="T3" s="2">
        <v>0</v>
      </c>
      <c r="U3" s="2">
        <v>0</v>
      </c>
    </row>
    <row r="4" spans="1:21" s="2" customFormat="1" ht="12.75" x14ac:dyDescent="0.2">
      <c r="A4" s="11">
        <v>44514</v>
      </c>
      <c r="B4" s="2" t="s">
        <v>20</v>
      </c>
      <c r="C4" s="2" t="s">
        <v>71</v>
      </c>
      <c r="D4" s="2" t="s">
        <v>21</v>
      </c>
      <c r="E4" s="2" t="s">
        <v>108</v>
      </c>
      <c r="F4" s="2" t="s">
        <v>22</v>
      </c>
      <c r="G4" s="2">
        <v>70000</v>
      </c>
      <c r="H4" s="2" t="s">
        <v>75</v>
      </c>
      <c r="I4" s="2" t="s">
        <v>76</v>
      </c>
      <c r="J4" s="3">
        <v>0.6875</v>
      </c>
      <c r="K4" s="4">
        <v>0.70694444444444438</v>
      </c>
      <c r="L4" s="3">
        <v>0.47916666666666669</v>
      </c>
      <c r="M4" s="4">
        <v>0.50694444444444442</v>
      </c>
      <c r="N4" s="2" t="s">
        <v>188</v>
      </c>
      <c r="O4" s="2" t="s">
        <v>186</v>
      </c>
      <c r="P4" s="2">
        <v>352</v>
      </c>
      <c r="Q4" s="2">
        <v>512</v>
      </c>
      <c r="R4" s="2">
        <v>0</v>
      </c>
      <c r="S4" s="2">
        <v>0</v>
      </c>
      <c r="T4" s="2">
        <v>0</v>
      </c>
      <c r="U4" s="2">
        <v>0</v>
      </c>
    </row>
    <row r="5" spans="1:21" s="2" customFormat="1" ht="12.75" x14ac:dyDescent="0.2">
      <c r="A5" s="11">
        <v>44514</v>
      </c>
      <c r="B5" s="2" t="s">
        <v>20</v>
      </c>
      <c r="C5" s="2" t="s">
        <v>72</v>
      </c>
      <c r="D5" s="2" t="s">
        <v>21</v>
      </c>
      <c r="E5" s="2" t="s">
        <v>108</v>
      </c>
      <c r="F5" s="2" t="s">
        <v>22</v>
      </c>
      <c r="G5" s="2">
        <v>70000</v>
      </c>
      <c r="H5" s="2" t="s">
        <v>77</v>
      </c>
      <c r="I5" s="2" t="s">
        <v>78</v>
      </c>
      <c r="J5" s="3">
        <v>0.91319444444444453</v>
      </c>
      <c r="K5" s="4">
        <v>0.93125000000000002</v>
      </c>
      <c r="L5" s="3">
        <v>0.70833333333333337</v>
      </c>
      <c r="M5" s="4">
        <v>0.74930555555555556</v>
      </c>
      <c r="N5" s="2" t="s">
        <v>190</v>
      </c>
      <c r="O5" s="2" t="s">
        <v>60</v>
      </c>
      <c r="P5" s="2">
        <v>524</v>
      </c>
      <c r="Q5" s="2">
        <v>1248</v>
      </c>
      <c r="R5" s="2">
        <v>0</v>
      </c>
      <c r="S5" s="2">
        <v>0</v>
      </c>
      <c r="T5" s="2">
        <v>0</v>
      </c>
      <c r="U5" s="2">
        <v>0</v>
      </c>
    </row>
    <row r="6" spans="1:21" s="2" customFormat="1" ht="12.75" x14ac:dyDescent="0.2">
      <c r="A6" s="11">
        <v>44514</v>
      </c>
      <c r="B6" s="2" t="s">
        <v>20</v>
      </c>
      <c r="C6" s="2" t="s">
        <v>117</v>
      </c>
      <c r="D6" s="2" t="s">
        <v>21</v>
      </c>
      <c r="E6" s="2" t="s">
        <v>160</v>
      </c>
      <c r="F6" s="2" t="s">
        <v>22</v>
      </c>
      <c r="G6" s="2">
        <v>70000</v>
      </c>
      <c r="H6" s="2" t="s">
        <v>119</v>
      </c>
      <c r="I6" s="2" t="s">
        <v>118</v>
      </c>
      <c r="J6" s="3">
        <v>0.95486111111111116</v>
      </c>
      <c r="K6" s="4">
        <v>0.96388888888888891</v>
      </c>
      <c r="L6" s="3">
        <v>0.79166666666666663</v>
      </c>
      <c r="M6" s="4">
        <v>0.7909722222222223</v>
      </c>
      <c r="N6" s="2" t="s">
        <v>191</v>
      </c>
      <c r="O6" s="2" t="s">
        <v>189</v>
      </c>
      <c r="P6" s="2">
        <v>381</v>
      </c>
      <c r="Q6" s="2">
        <v>589</v>
      </c>
      <c r="R6" s="2">
        <v>0</v>
      </c>
      <c r="S6" s="2">
        <v>0</v>
      </c>
      <c r="T6" s="2">
        <v>0</v>
      </c>
      <c r="U6" s="2">
        <v>0</v>
      </c>
    </row>
    <row r="7" spans="1:21" s="2" customFormat="1" ht="12.75" customHeight="1" x14ac:dyDescent="0.2">
      <c r="A7" s="11">
        <v>44514</v>
      </c>
      <c r="B7" s="2" t="s">
        <v>178</v>
      </c>
      <c r="C7" s="2" t="s">
        <v>179</v>
      </c>
      <c r="D7" s="2" t="s">
        <v>180</v>
      </c>
      <c r="E7" s="2" t="s">
        <v>181</v>
      </c>
      <c r="F7" s="2" t="s">
        <v>182</v>
      </c>
      <c r="G7" s="2">
        <v>1800</v>
      </c>
      <c r="H7" s="2" t="s">
        <v>35</v>
      </c>
      <c r="I7" s="2" t="s">
        <v>35</v>
      </c>
      <c r="J7" s="3">
        <v>0.49305555555555558</v>
      </c>
      <c r="K7" s="4" t="s">
        <v>187</v>
      </c>
      <c r="L7" s="3">
        <v>0.50694444444444442</v>
      </c>
      <c r="M7" s="4">
        <v>0.51250000000000007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</row>
    <row r="12" spans="1:21" x14ac:dyDescent="0.25">
      <c r="H12" s="2"/>
      <c r="I12" s="2"/>
    </row>
    <row r="21" spans="8:8" x14ac:dyDescent="0.25">
      <c r="H21" s="2"/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>
      <selection activeCell="E10" sqref="E10"/>
    </sheetView>
  </sheetViews>
  <sheetFormatPr defaultRowHeight="15" x14ac:dyDescent="0.25"/>
  <cols>
    <col min="3" max="3" width="10.5703125" customWidth="1"/>
    <col min="5" max="5" width="14.28515625" customWidth="1"/>
    <col min="6" max="6" width="11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44515</v>
      </c>
      <c r="B2" s="6" t="s">
        <v>20</v>
      </c>
      <c r="C2" s="6" t="s">
        <v>24</v>
      </c>
      <c r="D2" s="6" t="s">
        <v>21</v>
      </c>
      <c r="E2" s="6" t="s">
        <v>192</v>
      </c>
      <c r="F2" s="6" t="s">
        <v>22</v>
      </c>
      <c r="G2" s="6">
        <v>70000</v>
      </c>
      <c r="H2" s="6" t="s">
        <v>26</v>
      </c>
      <c r="I2" s="6" t="s">
        <v>27</v>
      </c>
      <c r="J2" s="7">
        <v>0.77083333333333337</v>
      </c>
      <c r="K2" s="8">
        <v>0.78125</v>
      </c>
      <c r="L2" s="7">
        <v>0.31944444444444448</v>
      </c>
      <c r="M2" s="8">
        <v>0.32083333333333336</v>
      </c>
      <c r="N2" s="6" t="s">
        <v>63</v>
      </c>
      <c r="O2" s="6" t="s">
        <v>193</v>
      </c>
      <c r="P2" s="6">
        <v>755</v>
      </c>
      <c r="Q2" s="6">
        <v>962</v>
      </c>
      <c r="R2" s="6">
        <v>0</v>
      </c>
      <c r="S2" s="6">
        <v>0</v>
      </c>
      <c r="T2" s="6">
        <v>0</v>
      </c>
      <c r="U2" s="6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activeCell="F11" sqref="F11"/>
    </sheetView>
  </sheetViews>
  <sheetFormatPr defaultRowHeight="15" x14ac:dyDescent="0.25"/>
  <cols>
    <col min="6" max="6" width="11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44516</v>
      </c>
      <c r="B2" s="6" t="s">
        <v>20</v>
      </c>
      <c r="C2" s="6" t="s">
        <v>45</v>
      </c>
      <c r="D2" s="6" t="s">
        <v>21</v>
      </c>
      <c r="E2" s="6" t="s">
        <v>108</v>
      </c>
      <c r="F2" s="6" t="s">
        <v>22</v>
      </c>
      <c r="G2" s="6">
        <v>70000</v>
      </c>
      <c r="H2" s="6" t="s">
        <v>50</v>
      </c>
      <c r="I2" s="6" t="s">
        <v>55</v>
      </c>
      <c r="J2" s="10">
        <v>0.50347222222222221</v>
      </c>
      <c r="K2" s="8">
        <v>0.51180555555555551</v>
      </c>
      <c r="L2" s="10">
        <v>0.31944444444444448</v>
      </c>
      <c r="M2" s="8">
        <v>0.31736111111111115</v>
      </c>
      <c r="N2" s="6" t="s">
        <v>195</v>
      </c>
      <c r="O2" s="6" t="s">
        <v>194</v>
      </c>
      <c r="P2" s="6">
        <v>571</v>
      </c>
      <c r="Q2" s="6">
        <v>653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5">
        <v>44516</v>
      </c>
      <c r="B3" s="6" t="s">
        <v>20</v>
      </c>
      <c r="C3" s="6" t="s">
        <v>46</v>
      </c>
      <c r="D3" s="6" t="s">
        <v>21</v>
      </c>
      <c r="E3" s="6" t="s">
        <v>33</v>
      </c>
      <c r="F3" s="6" t="s">
        <v>22</v>
      </c>
      <c r="G3" s="6">
        <v>70000</v>
      </c>
      <c r="H3" s="6" t="s">
        <v>51</v>
      </c>
      <c r="I3" s="6" t="s">
        <v>56</v>
      </c>
      <c r="J3" s="10">
        <v>0.69791666666666663</v>
      </c>
      <c r="K3" s="8">
        <v>0.69791666666666663</v>
      </c>
      <c r="L3" s="10">
        <v>0.53125</v>
      </c>
      <c r="M3" s="8">
        <v>0.54583333333333328</v>
      </c>
      <c r="N3" s="6" t="s">
        <v>198</v>
      </c>
      <c r="O3" s="6" t="s">
        <v>196</v>
      </c>
      <c r="P3" s="6">
        <v>487</v>
      </c>
      <c r="Q3" s="6">
        <v>715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44516</v>
      </c>
      <c r="B4" s="6" t="s">
        <v>20</v>
      </c>
      <c r="C4" s="6" t="s">
        <v>47</v>
      </c>
      <c r="D4" s="6" t="s">
        <v>21</v>
      </c>
      <c r="E4" s="6" t="s">
        <v>108</v>
      </c>
      <c r="F4" s="6" t="s">
        <v>22</v>
      </c>
      <c r="G4" s="6">
        <v>70000</v>
      </c>
      <c r="H4" s="6" t="s">
        <v>52</v>
      </c>
      <c r="I4" s="6" t="s">
        <v>57</v>
      </c>
      <c r="J4" s="10">
        <v>0.70833333333333337</v>
      </c>
      <c r="K4" s="8">
        <v>0.7368055555555556</v>
      </c>
      <c r="L4" s="10">
        <v>0.53472222222222221</v>
      </c>
      <c r="M4" s="8">
        <v>0.55486111111111114</v>
      </c>
      <c r="N4" s="6" t="s">
        <v>183</v>
      </c>
      <c r="O4" s="6" t="s">
        <v>197</v>
      </c>
      <c r="P4" s="6">
        <v>457</v>
      </c>
      <c r="Q4" s="6">
        <v>657</v>
      </c>
      <c r="R4" s="2">
        <v>0</v>
      </c>
      <c r="S4" s="2">
        <v>0</v>
      </c>
      <c r="T4" s="2">
        <v>0</v>
      </c>
      <c r="U4" s="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selection activeCell="E9" sqref="E9"/>
    </sheetView>
  </sheetViews>
  <sheetFormatPr defaultRowHeight="15" x14ac:dyDescent="0.25"/>
  <cols>
    <col min="1" max="1" width="11.5703125" customWidth="1"/>
    <col min="2" max="2" width="11.28515625" customWidth="1"/>
    <col min="3" max="3" width="13.42578125" customWidth="1"/>
    <col min="6" max="6" width="11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44517</v>
      </c>
      <c r="B2" s="6" t="s">
        <v>20</v>
      </c>
      <c r="C2" s="6" t="s">
        <v>70</v>
      </c>
      <c r="D2" s="6" t="s">
        <v>21</v>
      </c>
      <c r="E2" s="6" t="s">
        <v>33</v>
      </c>
      <c r="F2" s="6" t="s">
        <v>22</v>
      </c>
      <c r="G2" s="6">
        <v>70000</v>
      </c>
      <c r="H2" s="6" t="s">
        <v>73</v>
      </c>
      <c r="I2" s="6" t="s">
        <v>74</v>
      </c>
      <c r="J2" s="10">
        <v>0.44097222222222227</v>
      </c>
      <c r="K2" s="8">
        <v>0.43541666666666662</v>
      </c>
      <c r="L2" s="10">
        <v>0.32291666666666669</v>
      </c>
      <c r="M2" s="8">
        <v>0.32569444444444445</v>
      </c>
      <c r="N2" s="6" t="s">
        <v>200</v>
      </c>
      <c r="O2" s="6" t="s">
        <v>199</v>
      </c>
      <c r="P2" s="6">
        <v>211</v>
      </c>
      <c r="Q2" s="6">
        <v>388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5">
        <v>44517</v>
      </c>
      <c r="B3" s="6" t="s">
        <v>20</v>
      </c>
      <c r="C3" s="6" t="s">
        <v>71</v>
      </c>
      <c r="D3" s="6" t="s">
        <v>21</v>
      </c>
      <c r="E3" s="6" t="s">
        <v>33</v>
      </c>
      <c r="F3" s="6" t="s">
        <v>22</v>
      </c>
      <c r="G3" s="6">
        <v>70000</v>
      </c>
      <c r="H3" s="6" t="s">
        <v>75</v>
      </c>
      <c r="I3" s="6" t="s">
        <v>76</v>
      </c>
      <c r="J3" s="10">
        <v>0.67013888888888884</v>
      </c>
      <c r="K3" s="8">
        <v>0.66319444444444442</v>
      </c>
      <c r="L3" s="10">
        <v>0.46180555555555558</v>
      </c>
      <c r="M3" s="8">
        <v>0.46875</v>
      </c>
      <c r="N3" s="6" t="s">
        <v>202</v>
      </c>
      <c r="O3" s="6" t="s">
        <v>201</v>
      </c>
      <c r="P3" s="6">
        <v>507</v>
      </c>
      <c r="Q3" s="6">
        <v>696</v>
      </c>
      <c r="R3" s="6">
        <v>0</v>
      </c>
      <c r="S3" s="6">
        <v>0</v>
      </c>
      <c r="T3" s="6">
        <v>0</v>
      </c>
      <c r="U3" s="6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>
      <selection activeCell="E9" sqref="E9"/>
    </sheetView>
  </sheetViews>
  <sheetFormatPr defaultRowHeight="15" x14ac:dyDescent="0.25"/>
  <cols>
    <col min="3" max="3" width="12.28515625" customWidth="1"/>
    <col min="6" max="6" width="13.85546875" customWidth="1"/>
    <col min="7" max="7" width="10.7109375" customWidth="1"/>
    <col min="8" max="8" width="10.140625" customWidth="1"/>
    <col min="9" max="9" width="10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44518</v>
      </c>
      <c r="B2" s="6" t="s">
        <v>20</v>
      </c>
      <c r="C2" s="6" t="s">
        <v>93</v>
      </c>
      <c r="D2" s="6" t="s">
        <v>21</v>
      </c>
      <c r="E2" s="6" t="s">
        <v>108</v>
      </c>
      <c r="F2" s="6" t="s">
        <v>22</v>
      </c>
      <c r="G2" s="6">
        <v>70000</v>
      </c>
      <c r="H2" s="6" t="s">
        <v>94</v>
      </c>
      <c r="I2" s="6" t="s">
        <v>95</v>
      </c>
      <c r="J2" s="7">
        <v>0.75</v>
      </c>
      <c r="K2" s="8">
        <v>0.73958333333333337</v>
      </c>
      <c r="L2" s="7">
        <v>0.37847222222222227</v>
      </c>
      <c r="M2" s="8">
        <v>0.38055555555555554</v>
      </c>
      <c r="N2" s="6" t="s">
        <v>204</v>
      </c>
      <c r="O2" s="6" t="s">
        <v>203</v>
      </c>
      <c r="P2" s="6">
        <v>616</v>
      </c>
      <c r="Q2" s="6">
        <v>775</v>
      </c>
      <c r="R2" s="6">
        <v>0</v>
      </c>
      <c r="S2" s="6">
        <v>0</v>
      </c>
      <c r="T2" s="6">
        <v>0</v>
      </c>
      <c r="U2" s="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workbookViewId="0">
      <selection activeCell="N9" sqref="N9"/>
    </sheetView>
  </sheetViews>
  <sheetFormatPr defaultRowHeight="15" x14ac:dyDescent="0.25"/>
  <cols>
    <col min="1" max="1" width="10.140625" bestFit="1" customWidth="1"/>
    <col min="2" max="2" width="10.28515625" customWidth="1"/>
    <col min="3" max="3" width="13.140625" customWidth="1"/>
    <col min="5" max="5" width="17" customWidth="1"/>
    <col min="6" max="6" width="13.7109375" customWidth="1"/>
    <col min="9" max="9" width="9.4257812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2" x14ac:dyDescent="0.25">
      <c r="A2" s="5">
        <v>44519</v>
      </c>
      <c r="B2" s="6" t="s">
        <v>20</v>
      </c>
      <c r="C2" s="6" t="s">
        <v>24</v>
      </c>
      <c r="D2" s="6" t="s">
        <v>21</v>
      </c>
      <c r="E2" s="6" t="s">
        <v>156</v>
      </c>
      <c r="F2" s="6" t="s">
        <v>22</v>
      </c>
      <c r="G2" s="6">
        <v>70000</v>
      </c>
      <c r="H2" s="6" t="s">
        <v>26</v>
      </c>
      <c r="I2" s="6" t="s">
        <v>27</v>
      </c>
      <c r="J2" s="7">
        <v>0.77083333333333337</v>
      </c>
      <c r="K2" s="8">
        <v>0.78819444444444453</v>
      </c>
      <c r="L2" s="7">
        <v>0.31944444444444448</v>
      </c>
      <c r="M2" s="8">
        <v>0.39305555555555555</v>
      </c>
      <c r="N2" s="6" t="s">
        <v>212</v>
      </c>
      <c r="O2" s="6" t="s">
        <v>205</v>
      </c>
      <c r="P2" s="6">
        <v>1001</v>
      </c>
      <c r="Q2" s="6">
        <v>813</v>
      </c>
      <c r="R2" s="6">
        <v>0</v>
      </c>
      <c r="S2" s="6">
        <v>0</v>
      </c>
      <c r="T2" s="6">
        <v>0</v>
      </c>
      <c r="U2" s="6">
        <v>0</v>
      </c>
    </row>
    <row r="3" spans="1:22" x14ac:dyDescent="0.25">
      <c r="A3" s="5">
        <v>44519</v>
      </c>
      <c r="B3" s="6" t="s">
        <v>20</v>
      </c>
      <c r="C3" s="6" t="s">
        <v>28</v>
      </c>
      <c r="D3" s="6" t="s">
        <v>21</v>
      </c>
      <c r="E3" s="6" t="s">
        <v>108</v>
      </c>
      <c r="F3" s="6" t="s">
        <v>22</v>
      </c>
      <c r="G3" s="6">
        <v>70000</v>
      </c>
      <c r="H3" s="6" t="s">
        <v>31</v>
      </c>
      <c r="I3" s="6" t="s">
        <v>30</v>
      </c>
      <c r="J3" s="7">
        <v>0.52083333333333337</v>
      </c>
      <c r="K3" s="8">
        <v>0.58611111111111114</v>
      </c>
      <c r="L3" s="7">
        <v>0.33333333333333331</v>
      </c>
      <c r="M3" s="8">
        <v>0.4069444444444445</v>
      </c>
      <c r="N3" s="6" t="s">
        <v>211</v>
      </c>
      <c r="O3" s="6" t="s">
        <v>206</v>
      </c>
      <c r="P3" s="6">
        <v>817</v>
      </c>
      <c r="Q3" s="6">
        <v>586</v>
      </c>
      <c r="R3" s="6">
        <v>0</v>
      </c>
      <c r="S3" s="6">
        <v>0</v>
      </c>
      <c r="T3" s="6">
        <v>0</v>
      </c>
      <c r="U3" s="6">
        <v>0</v>
      </c>
    </row>
    <row r="4" spans="1:22" x14ac:dyDescent="0.25">
      <c r="A4" s="5">
        <v>44519</v>
      </c>
      <c r="B4" s="6" t="s">
        <v>20</v>
      </c>
      <c r="C4" s="6" t="s">
        <v>133</v>
      </c>
      <c r="D4" s="6" t="s">
        <v>21</v>
      </c>
      <c r="E4" s="6" t="s">
        <v>33</v>
      </c>
      <c r="F4" s="6" t="s">
        <v>207</v>
      </c>
      <c r="G4" s="6">
        <v>70000</v>
      </c>
      <c r="H4" s="6" t="s">
        <v>208</v>
      </c>
      <c r="I4" s="6" t="s">
        <v>213</v>
      </c>
      <c r="J4" s="7">
        <v>0.67708333333333337</v>
      </c>
      <c r="K4" s="8">
        <v>0.67708333333333337</v>
      </c>
      <c r="L4" s="6" t="s">
        <v>213</v>
      </c>
      <c r="M4" s="6" t="s">
        <v>213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/>
    </row>
    <row r="5" spans="1:22" x14ac:dyDescent="0.25">
      <c r="A5" s="5">
        <v>44519</v>
      </c>
      <c r="B5" s="6" t="s">
        <v>20</v>
      </c>
      <c r="C5" s="6" t="s">
        <v>209</v>
      </c>
      <c r="D5" s="6" t="s">
        <v>21</v>
      </c>
      <c r="E5" s="6" t="s">
        <v>160</v>
      </c>
      <c r="F5" s="6" t="s">
        <v>207</v>
      </c>
      <c r="G5" s="6">
        <v>70000</v>
      </c>
      <c r="H5" s="6" t="s">
        <v>213</v>
      </c>
      <c r="I5" s="6" t="s">
        <v>210</v>
      </c>
      <c r="J5" s="8" t="s">
        <v>213</v>
      </c>
      <c r="K5" s="6" t="s">
        <v>213</v>
      </c>
      <c r="L5" s="7">
        <v>0.83333333333333337</v>
      </c>
      <c r="M5" s="8">
        <v>0.85486111111111107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/>
    </row>
  </sheetData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E12" sqref="E12"/>
    </sheetView>
  </sheetViews>
  <sheetFormatPr defaultRowHeight="15" x14ac:dyDescent="0.25"/>
  <cols>
    <col min="2" max="2" width="11.85546875" customWidth="1"/>
    <col min="3" max="3" width="16.42578125" customWidth="1"/>
    <col min="5" max="5" width="15.5703125" customWidth="1"/>
    <col min="6" max="6" width="13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44520</v>
      </c>
      <c r="B2" s="6" t="s">
        <v>20</v>
      </c>
      <c r="C2" s="6" t="s">
        <v>45</v>
      </c>
      <c r="D2" s="6" t="s">
        <v>21</v>
      </c>
      <c r="E2" s="6" t="s">
        <v>108</v>
      </c>
      <c r="F2" s="6" t="s">
        <v>22</v>
      </c>
      <c r="G2" s="6">
        <v>70000</v>
      </c>
      <c r="H2" s="6" t="s">
        <v>50</v>
      </c>
      <c r="I2" s="6" t="s">
        <v>55</v>
      </c>
      <c r="J2" s="10">
        <v>0.50347222222222221</v>
      </c>
      <c r="K2" s="8">
        <v>0.49444444444444446</v>
      </c>
      <c r="L2" s="10">
        <v>0.31944444444444448</v>
      </c>
      <c r="M2" s="8">
        <v>0.32569444444444445</v>
      </c>
      <c r="N2" s="6" t="s">
        <v>215</v>
      </c>
      <c r="O2" s="6" t="s">
        <v>217</v>
      </c>
      <c r="P2" s="6">
        <v>786</v>
      </c>
      <c r="Q2" s="6">
        <v>919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5">
        <v>44520</v>
      </c>
      <c r="B3" s="6" t="s">
        <v>20</v>
      </c>
      <c r="C3" s="6" t="s">
        <v>46</v>
      </c>
      <c r="D3" s="6" t="s">
        <v>21</v>
      </c>
      <c r="E3" s="6" t="s">
        <v>214</v>
      </c>
      <c r="F3" s="6" t="s">
        <v>22</v>
      </c>
      <c r="G3" s="6">
        <v>70000</v>
      </c>
      <c r="H3" s="6" t="s">
        <v>51</v>
      </c>
      <c r="I3" s="6" t="s">
        <v>56</v>
      </c>
      <c r="J3" s="10">
        <v>0.69791666666666663</v>
      </c>
      <c r="K3" s="8">
        <v>0.7319444444444444</v>
      </c>
      <c r="L3" s="10">
        <v>0.53125</v>
      </c>
      <c r="M3" s="8">
        <v>0.55972222222222223</v>
      </c>
      <c r="N3" s="6" t="s">
        <v>218</v>
      </c>
      <c r="O3" s="6" t="s">
        <v>216</v>
      </c>
      <c r="P3" s="6">
        <v>957</v>
      </c>
      <c r="Q3" s="6">
        <v>1021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44520</v>
      </c>
      <c r="B4" s="6" t="s">
        <v>20</v>
      </c>
      <c r="C4" s="6" t="s">
        <v>47</v>
      </c>
      <c r="D4" s="6" t="s">
        <v>21</v>
      </c>
      <c r="E4" s="6" t="s">
        <v>33</v>
      </c>
      <c r="F4" s="6" t="s">
        <v>22</v>
      </c>
      <c r="G4" s="6">
        <v>70000</v>
      </c>
      <c r="H4" s="6" t="s">
        <v>52</v>
      </c>
      <c r="I4" s="6" t="s">
        <v>57</v>
      </c>
      <c r="J4" s="10">
        <v>0.70833333333333337</v>
      </c>
      <c r="K4" s="8">
        <v>0.74861111111111101</v>
      </c>
      <c r="L4" s="10">
        <v>0.53472222222222221</v>
      </c>
      <c r="M4" s="8">
        <v>0.57361111111111118</v>
      </c>
      <c r="N4" s="6" t="s">
        <v>152</v>
      </c>
      <c r="O4" s="6" t="s">
        <v>219</v>
      </c>
      <c r="P4" s="6">
        <v>674</v>
      </c>
      <c r="Q4" s="6">
        <v>1265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5">
        <v>44520</v>
      </c>
      <c r="B5" s="6" t="s">
        <v>20</v>
      </c>
      <c r="C5" s="6" t="s">
        <v>49</v>
      </c>
      <c r="D5" s="6" t="s">
        <v>21</v>
      </c>
      <c r="E5" s="6" t="str">
        <f>E4</f>
        <v>HA-LPM</v>
      </c>
      <c r="F5" s="6" t="s">
        <v>22</v>
      </c>
      <c r="G5" s="6">
        <v>70000</v>
      </c>
      <c r="H5" s="6" t="s">
        <v>54</v>
      </c>
      <c r="I5" s="6" t="s">
        <v>59</v>
      </c>
      <c r="J5" s="10">
        <v>0.94791666666666663</v>
      </c>
      <c r="K5" s="8">
        <v>0.99722222222222223</v>
      </c>
      <c r="L5" s="10">
        <v>0.72916666666666663</v>
      </c>
      <c r="M5" s="8">
        <v>0.79027777777777775</v>
      </c>
      <c r="N5" s="6" t="s">
        <v>221</v>
      </c>
      <c r="O5" s="6" t="s">
        <v>220</v>
      </c>
      <c r="P5" s="6">
        <v>379</v>
      </c>
      <c r="Q5" s="2">
        <v>637</v>
      </c>
      <c r="R5" s="2">
        <v>0</v>
      </c>
      <c r="S5" s="2">
        <v>0</v>
      </c>
      <c r="T5" s="2">
        <v>0</v>
      </c>
      <c r="U5" s="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G12" sqref="G12"/>
    </sheetView>
  </sheetViews>
  <sheetFormatPr defaultRowHeight="15" x14ac:dyDescent="0.25"/>
  <cols>
    <col min="6" max="6" width="10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44521</v>
      </c>
      <c r="B2" s="6" t="s">
        <v>20</v>
      </c>
      <c r="C2" s="6" t="s">
        <v>70</v>
      </c>
      <c r="D2" s="6" t="s">
        <v>232</v>
      </c>
      <c r="E2" s="6" t="s">
        <v>223</v>
      </c>
      <c r="F2" s="6" t="s">
        <v>22</v>
      </c>
      <c r="G2" s="6">
        <v>89000</v>
      </c>
      <c r="H2" s="6" t="s">
        <v>73</v>
      </c>
      <c r="I2" s="6" t="s">
        <v>74</v>
      </c>
      <c r="J2" s="7">
        <v>0.44791666666666669</v>
      </c>
      <c r="K2" s="8">
        <v>0.50277777777777777</v>
      </c>
      <c r="L2" s="7">
        <v>0.3298611111111111</v>
      </c>
      <c r="M2" s="8">
        <v>0.53611111111111109</v>
      </c>
      <c r="N2" s="6" t="s">
        <v>226</v>
      </c>
      <c r="O2" s="6" t="s">
        <v>225</v>
      </c>
      <c r="P2" s="6">
        <v>521</v>
      </c>
      <c r="Q2" s="6">
        <v>356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44521</v>
      </c>
      <c r="B3" s="6" t="s">
        <v>20</v>
      </c>
      <c r="C3" s="6" t="s">
        <v>93</v>
      </c>
      <c r="D3" s="6" t="s">
        <v>21</v>
      </c>
      <c r="E3" s="6" t="s">
        <v>160</v>
      </c>
      <c r="F3" s="6" t="s">
        <v>22</v>
      </c>
      <c r="G3" s="6">
        <v>70000</v>
      </c>
      <c r="H3" s="6" t="s">
        <v>94</v>
      </c>
      <c r="I3" s="6" t="s">
        <v>95</v>
      </c>
      <c r="J3" s="7">
        <v>0.75</v>
      </c>
      <c r="K3" s="8">
        <v>0.77222222222222225</v>
      </c>
      <c r="L3" s="7">
        <v>0.37847222222222227</v>
      </c>
      <c r="M3" s="8">
        <v>0.40763888888888888</v>
      </c>
      <c r="N3" s="6" t="s">
        <v>229</v>
      </c>
      <c r="O3" s="6" t="s">
        <v>222</v>
      </c>
      <c r="P3" s="6">
        <v>821</v>
      </c>
      <c r="Q3" s="6">
        <v>726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44521</v>
      </c>
      <c r="B4" s="6" t="s">
        <v>20</v>
      </c>
      <c r="C4" s="6" t="s">
        <v>71</v>
      </c>
      <c r="D4" s="6" t="s">
        <v>21</v>
      </c>
      <c r="E4" s="6" t="s">
        <v>33</v>
      </c>
      <c r="F4" s="6" t="s">
        <v>22</v>
      </c>
      <c r="G4" s="6">
        <v>70000</v>
      </c>
      <c r="H4" s="6" t="s">
        <v>75</v>
      </c>
      <c r="I4" s="6" t="s">
        <v>76</v>
      </c>
      <c r="J4" s="7">
        <v>0.6875</v>
      </c>
      <c r="K4" s="8">
        <v>0.68472222222222223</v>
      </c>
      <c r="L4" s="7">
        <v>0.47916666666666669</v>
      </c>
      <c r="M4" s="8">
        <v>0.4826388888888889</v>
      </c>
      <c r="N4" s="6" t="s">
        <v>227</v>
      </c>
      <c r="O4" s="6" t="s">
        <v>224</v>
      </c>
      <c r="P4" s="6">
        <v>513</v>
      </c>
      <c r="Q4" s="6">
        <v>802</v>
      </c>
      <c r="R4" s="6">
        <v>0</v>
      </c>
      <c r="S4" s="6">
        <v>0</v>
      </c>
      <c r="T4" s="6">
        <v>0</v>
      </c>
      <c r="U4" s="6">
        <v>0</v>
      </c>
    </row>
    <row r="5" spans="1:21" x14ac:dyDescent="0.25">
      <c r="A5" s="5">
        <v>44521</v>
      </c>
      <c r="B5" s="6" t="s">
        <v>20</v>
      </c>
      <c r="C5" s="6" t="s">
        <v>72</v>
      </c>
      <c r="D5" s="6" t="s">
        <v>21</v>
      </c>
      <c r="E5" s="6" t="s">
        <v>33</v>
      </c>
      <c r="F5" s="6" t="s">
        <v>22</v>
      </c>
      <c r="G5" s="6">
        <v>70000</v>
      </c>
      <c r="H5" s="6" t="s">
        <v>77</v>
      </c>
      <c r="I5" s="6" t="s">
        <v>78</v>
      </c>
      <c r="J5" s="7">
        <v>0.91319444444444453</v>
      </c>
      <c r="K5" s="8">
        <v>0.91736111111111107</v>
      </c>
      <c r="L5" s="7">
        <v>0.70833333333333337</v>
      </c>
      <c r="M5" s="8">
        <v>0.72569444444444453</v>
      </c>
      <c r="N5" s="6" t="s">
        <v>230</v>
      </c>
      <c r="O5" s="6" t="s">
        <v>228</v>
      </c>
      <c r="P5" s="6">
        <v>466</v>
      </c>
      <c r="Q5" s="6">
        <v>1079</v>
      </c>
      <c r="R5" s="6">
        <v>0</v>
      </c>
      <c r="S5" s="6">
        <v>0</v>
      </c>
      <c r="T5" s="6">
        <v>0</v>
      </c>
      <c r="U5" s="6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>
      <selection activeCell="G14" sqref="G14"/>
    </sheetView>
  </sheetViews>
  <sheetFormatPr defaultRowHeight="15" x14ac:dyDescent="0.25"/>
  <cols>
    <col min="5" max="5" width="12.85546875" customWidth="1"/>
    <col min="6" max="6" width="10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44522</v>
      </c>
      <c r="B2" s="6" t="s">
        <v>20</v>
      </c>
      <c r="C2" s="6" t="s">
        <v>24</v>
      </c>
      <c r="D2" s="6" t="s">
        <v>21</v>
      </c>
      <c r="E2" s="6" t="s">
        <v>231</v>
      </c>
      <c r="F2" s="6" t="s">
        <v>22</v>
      </c>
      <c r="G2" s="6">
        <v>70000</v>
      </c>
      <c r="H2" s="6" t="s">
        <v>26</v>
      </c>
      <c r="I2" s="6" t="s">
        <v>27</v>
      </c>
      <c r="J2" s="7">
        <v>0.77083333333333337</v>
      </c>
      <c r="K2" s="8">
        <v>0.78125</v>
      </c>
      <c r="L2" s="7">
        <v>0.31944444444444448</v>
      </c>
      <c r="M2" s="8">
        <v>0.33888888888888885</v>
      </c>
      <c r="N2" s="6" t="s">
        <v>234</v>
      </c>
      <c r="O2" s="6" t="s">
        <v>233</v>
      </c>
      <c r="P2" s="6">
        <v>735</v>
      </c>
      <c r="Q2" s="6">
        <v>755</v>
      </c>
      <c r="R2" s="6">
        <v>0</v>
      </c>
      <c r="S2" s="6">
        <v>0</v>
      </c>
      <c r="T2" s="6">
        <v>0</v>
      </c>
      <c r="U2" s="6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sqref="A1:XFD4"/>
    </sheetView>
  </sheetViews>
  <sheetFormatPr defaultRowHeight="15" x14ac:dyDescent="0.25"/>
  <cols>
    <col min="1" max="1" width="9.5703125" customWidth="1"/>
    <col min="2" max="2" width="21.140625" customWidth="1"/>
    <col min="3" max="3" width="16.5703125" customWidth="1"/>
    <col min="6" max="6" width="11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44523</v>
      </c>
      <c r="B2" s="6" t="s">
        <v>20</v>
      </c>
      <c r="C2" s="6" t="s">
        <v>45</v>
      </c>
      <c r="D2" s="6" t="s">
        <v>21</v>
      </c>
      <c r="E2" s="6" t="s">
        <v>235</v>
      </c>
      <c r="F2" s="6" t="s">
        <v>22</v>
      </c>
      <c r="G2" s="6">
        <v>70000</v>
      </c>
      <c r="H2" s="6" t="s">
        <v>50</v>
      </c>
      <c r="I2" s="6" t="s">
        <v>55</v>
      </c>
      <c r="J2" s="10">
        <v>0.50347222222222221</v>
      </c>
      <c r="K2" s="8">
        <v>0.51180555555555551</v>
      </c>
      <c r="L2" s="10">
        <v>0.31944444444444448</v>
      </c>
      <c r="M2" s="8">
        <v>0.32361111111111113</v>
      </c>
      <c r="N2" s="6" t="s">
        <v>236</v>
      </c>
      <c r="O2" s="6" t="s">
        <v>139</v>
      </c>
      <c r="P2" s="6">
        <v>408</v>
      </c>
      <c r="Q2" s="6">
        <v>518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44523</v>
      </c>
      <c r="B3" s="6" t="s">
        <v>20</v>
      </c>
      <c r="C3" s="6" t="s">
        <v>46</v>
      </c>
      <c r="D3" s="6" t="s">
        <v>21</v>
      </c>
      <c r="E3" s="6" t="s">
        <v>235</v>
      </c>
      <c r="F3" s="6" t="s">
        <v>22</v>
      </c>
      <c r="G3" s="6">
        <v>70000</v>
      </c>
      <c r="H3" s="6" t="s">
        <v>51</v>
      </c>
      <c r="I3" s="6" t="s">
        <v>56</v>
      </c>
      <c r="J3" s="10">
        <v>0.69791666666666663</v>
      </c>
      <c r="K3" s="8">
        <v>0.6972222222222223</v>
      </c>
      <c r="L3" s="10">
        <v>0.53125</v>
      </c>
      <c r="M3" s="8">
        <v>0.54583333333333328</v>
      </c>
      <c r="N3" s="6" t="s">
        <v>243</v>
      </c>
      <c r="O3" s="6" t="s">
        <v>237</v>
      </c>
      <c r="P3" s="6">
        <v>501</v>
      </c>
      <c r="Q3" s="6">
        <v>721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44523</v>
      </c>
      <c r="B4" s="6" t="s">
        <v>20</v>
      </c>
      <c r="C4" s="6" t="s">
        <v>47</v>
      </c>
      <c r="D4" s="6" t="s">
        <v>21</v>
      </c>
      <c r="E4" s="6" t="s">
        <v>160</v>
      </c>
      <c r="F4" s="6" t="s">
        <v>22</v>
      </c>
      <c r="G4" s="6">
        <v>70000</v>
      </c>
      <c r="H4" s="6" t="s">
        <v>52</v>
      </c>
      <c r="I4" s="6" t="s">
        <v>57</v>
      </c>
      <c r="J4" s="10">
        <v>0.70833333333333337</v>
      </c>
      <c r="K4" s="8">
        <v>0.71111111111111114</v>
      </c>
      <c r="L4" s="10">
        <v>0.53472222222222221</v>
      </c>
      <c r="M4" s="8">
        <v>0.5493055555555556</v>
      </c>
      <c r="N4" s="6" t="s">
        <v>244</v>
      </c>
      <c r="O4" s="6" t="s">
        <v>245</v>
      </c>
      <c r="P4" s="6">
        <v>416</v>
      </c>
      <c r="Q4" s="6">
        <v>616</v>
      </c>
      <c r="R4" s="6">
        <v>0</v>
      </c>
      <c r="S4" s="6">
        <v>0</v>
      </c>
      <c r="T4" s="6">
        <v>0</v>
      </c>
      <c r="U4" s="6">
        <v>0</v>
      </c>
    </row>
    <row r="5" spans="1:21" x14ac:dyDescent="0.25">
      <c r="A5" s="5">
        <v>44523</v>
      </c>
      <c r="B5" s="6" t="s">
        <v>163</v>
      </c>
      <c r="C5" s="6" t="s">
        <v>238</v>
      </c>
      <c r="D5" s="6" t="s">
        <v>239</v>
      </c>
      <c r="E5" s="6" t="s">
        <v>166</v>
      </c>
      <c r="F5" s="14" t="s">
        <v>242</v>
      </c>
      <c r="G5" s="6">
        <v>22000</v>
      </c>
      <c r="H5" s="6" t="s">
        <v>240</v>
      </c>
      <c r="I5" s="6" t="s">
        <v>241</v>
      </c>
      <c r="J5" s="8">
        <v>0.71527777777777779</v>
      </c>
      <c r="K5" s="8">
        <v>0.71319444444444446</v>
      </c>
      <c r="L5" s="8">
        <v>0.79166666666666663</v>
      </c>
      <c r="M5" s="8">
        <v>0.81805555555555554</v>
      </c>
      <c r="N5" s="6" t="s">
        <v>35</v>
      </c>
      <c r="O5" s="6">
        <v>2</v>
      </c>
      <c r="P5" s="6" t="s">
        <v>35</v>
      </c>
      <c r="Q5" s="6" t="s">
        <v>35</v>
      </c>
      <c r="R5" s="6" t="s">
        <v>35</v>
      </c>
      <c r="S5" s="6" t="s">
        <v>35</v>
      </c>
      <c r="T5" s="6" t="s">
        <v>35</v>
      </c>
      <c r="U5" s="6" t="s">
        <v>35</v>
      </c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>
      <selection activeCell="K3" sqref="K3"/>
    </sheetView>
  </sheetViews>
  <sheetFormatPr defaultRowHeight="15" x14ac:dyDescent="0.25"/>
  <cols>
    <col min="2" max="2" width="12.140625" customWidth="1"/>
    <col min="3" max="3" width="13.5703125" customWidth="1"/>
    <col min="6" max="6" width="13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44524</v>
      </c>
      <c r="B2" s="6" t="s">
        <v>20</v>
      </c>
      <c r="C2" s="6" t="s">
        <v>71</v>
      </c>
      <c r="D2" s="6" t="s">
        <v>21</v>
      </c>
      <c r="E2" s="6" t="s">
        <v>235</v>
      </c>
      <c r="F2" s="6" t="s">
        <v>22</v>
      </c>
      <c r="G2" s="6">
        <v>70000</v>
      </c>
      <c r="H2" s="6" t="s">
        <v>75</v>
      </c>
      <c r="I2" s="6" t="s">
        <v>76</v>
      </c>
      <c r="J2" s="10">
        <v>0.67013888888888884</v>
      </c>
      <c r="K2" s="8">
        <v>0.66597222222222219</v>
      </c>
      <c r="L2" s="10">
        <v>0.46180555555555558</v>
      </c>
      <c r="M2" s="8">
        <v>0.47500000000000003</v>
      </c>
      <c r="N2" s="6" t="s">
        <v>246</v>
      </c>
      <c r="O2" s="6" t="s">
        <v>67</v>
      </c>
      <c r="P2" s="6">
        <v>444</v>
      </c>
      <c r="Q2" s="6">
        <v>477</v>
      </c>
      <c r="R2" s="6">
        <v>0</v>
      </c>
      <c r="S2" s="6">
        <v>0</v>
      </c>
      <c r="T2" s="6">
        <v>0</v>
      </c>
      <c r="U2" s="6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>
      <selection activeCell="K3" sqref="K3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44525</v>
      </c>
      <c r="B2" s="6" t="s">
        <v>20</v>
      </c>
      <c r="C2" s="6" t="s">
        <v>93</v>
      </c>
      <c r="D2" s="6" t="s">
        <v>21</v>
      </c>
      <c r="E2" s="6" t="s">
        <v>160</v>
      </c>
      <c r="F2" s="6" t="s">
        <v>22</v>
      </c>
      <c r="G2" s="6">
        <v>70000</v>
      </c>
      <c r="H2" s="6" t="s">
        <v>94</v>
      </c>
      <c r="I2" s="6" t="s">
        <v>95</v>
      </c>
      <c r="J2" s="7">
        <v>0.75</v>
      </c>
      <c r="K2" s="8">
        <v>0.74652777777777779</v>
      </c>
      <c r="L2" s="7">
        <v>0.37847222222222227</v>
      </c>
      <c r="M2" s="8">
        <v>0.38611111111111113</v>
      </c>
      <c r="N2" s="6" t="s">
        <v>248</v>
      </c>
      <c r="O2" s="6" t="s">
        <v>247</v>
      </c>
      <c r="P2" s="6">
        <v>860</v>
      </c>
      <c r="Q2" s="6">
        <v>760</v>
      </c>
      <c r="R2" s="6">
        <v>0</v>
      </c>
      <c r="S2" s="6">
        <v>0</v>
      </c>
      <c r="T2" s="6">
        <v>0</v>
      </c>
      <c r="U2" s="6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topLeftCell="C1" workbookViewId="0">
      <selection activeCell="K3" sqref="K3"/>
    </sheetView>
  </sheetViews>
  <sheetFormatPr defaultRowHeight="15" x14ac:dyDescent="0.25"/>
  <cols>
    <col min="1" max="1" width="10.140625" bestFit="1" customWidth="1"/>
    <col min="2" max="2" width="10.28515625" customWidth="1"/>
    <col min="3" max="3" width="13.140625" customWidth="1"/>
    <col min="5" max="5" width="17" customWidth="1"/>
    <col min="6" max="6" width="13.7109375" customWidth="1"/>
    <col min="9" max="9" width="9.42578125" customWidth="1"/>
    <col min="14" max="15" width="18.425781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2" x14ac:dyDescent="0.25">
      <c r="A2" s="5">
        <v>44526</v>
      </c>
      <c r="B2" s="6" t="s">
        <v>20</v>
      </c>
      <c r="C2" s="6" t="s">
        <v>24</v>
      </c>
      <c r="D2" s="6" t="s">
        <v>21</v>
      </c>
      <c r="E2" s="6" t="s">
        <v>249</v>
      </c>
      <c r="F2" s="6" t="s">
        <v>22</v>
      </c>
      <c r="G2" s="6">
        <v>70000</v>
      </c>
      <c r="H2" s="6" t="s">
        <v>26</v>
      </c>
      <c r="I2" s="6" t="s">
        <v>27</v>
      </c>
      <c r="J2" s="7">
        <v>0.77083333333333337</v>
      </c>
      <c r="K2" s="8">
        <v>0.79305555555555562</v>
      </c>
      <c r="L2" s="7">
        <v>0.31944444444444448</v>
      </c>
      <c r="M2" s="8">
        <v>0.34652777777777777</v>
      </c>
      <c r="N2" s="6" t="s">
        <v>252</v>
      </c>
      <c r="O2" s="6" t="s">
        <v>102</v>
      </c>
      <c r="P2" s="6">
        <v>955</v>
      </c>
      <c r="Q2" s="6">
        <v>920</v>
      </c>
      <c r="R2" s="6">
        <v>0</v>
      </c>
      <c r="S2" s="6">
        <v>0</v>
      </c>
      <c r="T2" s="6">
        <v>0</v>
      </c>
      <c r="U2" s="6">
        <v>0</v>
      </c>
    </row>
    <row r="3" spans="1:22" x14ac:dyDescent="0.25">
      <c r="A3" s="5">
        <v>44526</v>
      </c>
      <c r="B3" s="6" t="s">
        <v>20</v>
      </c>
      <c r="C3" s="6" t="s">
        <v>28</v>
      </c>
      <c r="D3" s="6" t="s">
        <v>21</v>
      </c>
      <c r="E3" s="6" t="s">
        <v>235</v>
      </c>
      <c r="F3" s="6" t="s">
        <v>22</v>
      </c>
      <c r="G3" s="6">
        <v>70000</v>
      </c>
      <c r="H3" s="6" t="s">
        <v>31</v>
      </c>
      <c r="I3" s="6" t="s">
        <v>30</v>
      </c>
      <c r="J3" s="7">
        <v>0.52083333333333337</v>
      </c>
      <c r="K3" s="8">
        <v>0.52500000000000002</v>
      </c>
      <c r="L3" s="7">
        <v>0.33333333333333331</v>
      </c>
      <c r="M3" s="8">
        <v>0.34166666666666662</v>
      </c>
      <c r="N3" s="6" t="s">
        <v>251</v>
      </c>
      <c r="O3" s="6" t="s">
        <v>250</v>
      </c>
      <c r="P3" s="6">
        <v>445</v>
      </c>
      <c r="Q3" s="6">
        <v>739</v>
      </c>
      <c r="R3" s="6">
        <v>0</v>
      </c>
      <c r="S3" s="6">
        <v>0</v>
      </c>
      <c r="T3" s="6">
        <v>0</v>
      </c>
      <c r="U3" s="6">
        <v>0</v>
      </c>
    </row>
    <row r="4" spans="1:22" x14ac:dyDescent="0.25">
      <c r="A4" s="5"/>
      <c r="B4" s="6"/>
      <c r="C4" s="6"/>
      <c r="D4" s="6"/>
      <c r="E4" s="6"/>
      <c r="F4" s="6"/>
      <c r="G4" s="6"/>
      <c r="H4" s="6"/>
      <c r="I4" s="6"/>
      <c r="J4" s="7"/>
      <c r="K4" s="8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2" x14ac:dyDescent="0.25">
      <c r="A5" s="5"/>
      <c r="B5" s="6"/>
      <c r="C5" s="6"/>
      <c r="D5" s="6"/>
      <c r="E5" s="6"/>
      <c r="F5" s="6"/>
      <c r="G5" s="6"/>
      <c r="H5" s="6"/>
      <c r="I5" s="6"/>
      <c r="J5" s="8"/>
      <c r="K5" s="6"/>
      <c r="L5" s="7"/>
      <c r="M5" s="8"/>
      <c r="N5" s="6"/>
      <c r="O5" s="6"/>
      <c r="P5" s="6"/>
      <c r="Q5" s="6"/>
      <c r="R5" s="6"/>
      <c r="S5" s="6"/>
      <c r="T5" s="6"/>
      <c r="U5" s="6"/>
      <c r="V5" s="6"/>
    </row>
  </sheetData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O7" sqref="O7"/>
    </sheetView>
  </sheetViews>
  <sheetFormatPr defaultRowHeight="15" x14ac:dyDescent="0.25"/>
  <cols>
    <col min="2" max="2" width="18.140625" bestFit="1" customWidth="1"/>
    <col min="3" max="3" width="13.42578125" bestFit="1" customWidth="1"/>
    <col min="6" max="6" width="17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44527</v>
      </c>
      <c r="B2" s="6" t="s">
        <v>20</v>
      </c>
      <c r="C2" s="6" t="s">
        <v>45</v>
      </c>
      <c r="D2" s="6" t="s">
        <v>21</v>
      </c>
      <c r="E2" s="6" t="s">
        <v>253</v>
      </c>
      <c r="F2" s="6" t="s">
        <v>22</v>
      </c>
      <c r="G2" s="6">
        <v>70000</v>
      </c>
      <c r="H2" s="6" t="s">
        <v>50</v>
      </c>
      <c r="I2" s="6" t="s">
        <v>55</v>
      </c>
      <c r="J2" s="10">
        <v>0.50347222222222221</v>
      </c>
      <c r="K2" s="8">
        <v>0.5</v>
      </c>
      <c r="L2" s="10">
        <v>0.31944444444444448</v>
      </c>
      <c r="M2" s="8">
        <v>0.33055555555555555</v>
      </c>
      <c r="N2" s="6" t="s">
        <v>254</v>
      </c>
      <c r="O2" s="6" t="s">
        <v>123</v>
      </c>
      <c r="P2" s="6">
        <v>761</v>
      </c>
      <c r="Q2" s="6">
        <v>696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5">
        <v>44527</v>
      </c>
      <c r="B3" s="6" t="s">
        <v>20</v>
      </c>
      <c r="C3" s="6" t="s">
        <v>46</v>
      </c>
      <c r="D3" s="6" t="s">
        <v>21</v>
      </c>
      <c r="E3" s="6" t="s">
        <v>253</v>
      </c>
      <c r="F3" s="6" t="s">
        <v>22</v>
      </c>
      <c r="G3" s="6">
        <v>70000</v>
      </c>
      <c r="H3" s="6" t="s">
        <v>51</v>
      </c>
      <c r="I3" s="6" t="s">
        <v>56</v>
      </c>
      <c r="J3" s="10">
        <v>0.69791666666666663</v>
      </c>
      <c r="K3" s="8">
        <v>0.69930555555555562</v>
      </c>
      <c r="L3" s="10">
        <v>0.53125</v>
      </c>
      <c r="M3" s="8">
        <v>0.54236111111111118</v>
      </c>
      <c r="N3" s="6" t="s">
        <v>258</v>
      </c>
      <c r="O3" s="6" t="s">
        <v>255</v>
      </c>
      <c r="P3" s="6">
        <v>978</v>
      </c>
      <c r="Q3" s="6">
        <v>790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44527</v>
      </c>
      <c r="B4" s="6" t="s">
        <v>20</v>
      </c>
      <c r="C4" s="6" t="s">
        <v>47</v>
      </c>
      <c r="D4" s="6" t="s">
        <v>21</v>
      </c>
      <c r="E4" s="6" t="s">
        <v>235</v>
      </c>
      <c r="F4" s="6" t="s">
        <v>22</v>
      </c>
      <c r="G4" s="6">
        <v>70000</v>
      </c>
      <c r="H4" s="6" t="s">
        <v>52</v>
      </c>
      <c r="I4" s="6" t="s">
        <v>57</v>
      </c>
      <c r="J4" s="10">
        <v>0.70833333333333337</v>
      </c>
      <c r="K4" s="8">
        <v>0.72013888888888899</v>
      </c>
      <c r="L4" s="10">
        <v>0.53472222222222221</v>
      </c>
      <c r="M4" s="8">
        <v>0.54791666666666672</v>
      </c>
      <c r="N4" s="6" t="s">
        <v>259</v>
      </c>
      <c r="O4" s="6" t="s">
        <v>256</v>
      </c>
      <c r="P4" s="6">
        <v>736</v>
      </c>
      <c r="Q4" s="6">
        <v>883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5">
        <v>44527</v>
      </c>
      <c r="B5" s="6" t="s">
        <v>20</v>
      </c>
      <c r="C5" s="6" t="s">
        <v>49</v>
      </c>
      <c r="D5" s="6" t="s">
        <v>21</v>
      </c>
      <c r="E5" s="6" t="s">
        <v>235</v>
      </c>
      <c r="F5" s="6" t="s">
        <v>22</v>
      </c>
      <c r="G5" s="6">
        <v>70000</v>
      </c>
      <c r="H5" s="6" t="s">
        <v>54</v>
      </c>
      <c r="I5" s="6" t="s">
        <v>59</v>
      </c>
      <c r="J5" s="10">
        <v>0.94791666666666663</v>
      </c>
      <c r="K5" s="8">
        <v>0.95208333333333339</v>
      </c>
      <c r="L5" s="10">
        <v>0.72916666666666663</v>
      </c>
      <c r="M5" s="8">
        <v>0.75347222222222221</v>
      </c>
      <c r="N5" s="6" t="s">
        <v>257</v>
      </c>
      <c r="O5" s="6" t="s">
        <v>197</v>
      </c>
      <c r="P5" s="6">
        <v>244</v>
      </c>
      <c r="Q5" s="2">
        <v>871</v>
      </c>
      <c r="R5" s="2">
        <v>0</v>
      </c>
      <c r="S5" s="2">
        <v>0</v>
      </c>
      <c r="T5" s="2">
        <v>0</v>
      </c>
      <c r="U5" s="2">
        <v>0</v>
      </c>
    </row>
    <row r="6" spans="1:21" s="2" customFormat="1" ht="12.75" x14ac:dyDescent="0.2">
      <c r="A6" s="5">
        <v>44527</v>
      </c>
      <c r="B6" s="6" t="s">
        <v>82</v>
      </c>
      <c r="C6" s="2" t="s">
        <v>83</v>
      </c>
      <c r="D6" s="6" t="s">
        <v>260</v>
      </c>
      <c r="E6" s="2" t="s">
        <v>261</v>
      </c>
      <c r="F6" s="2" t="s">
        <v>262</v>
      </c>
      <c r="G6" s="2">
        <v>75000</v>
      </c>
      <c r="H6" s="2" t="s">
        <v>86</v>
      </c>
      <c r="I6" s="2" t="s">
        <v>87</v>
      </c>
      <c r="J6" s="4">
        <v>0.64583333333333337</v>
      </c>
      <c r="K6" s="4">
        <v>0.64583333333333337</v>
      </c>
      <c r="L6" s="4">
        <v>0.70833333333333337</v>
      </c>
      <c r="M6" s="4">
        <v>0.72916666666666663</v>
      </c>
      <c r="N6" s="2" t="s">
        <v>263</v>
      </c>
      <c r="O6" s="2">
        <v>0</v>
      </c>
      <c r="P6" s="2">
        <v>2127</v>
      </c>
      <c r="Q6" s="2">
        <v>0</v>
      </c>
      <c r="R6" s="2">
        <v>0</v>
      </c>
      <c r="S6" s="2">
        <v>0</v>
      </c>
      <c r="T6" s="2">
        <v>0</v>
      </c>
      <c r="U6" s="2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K5" sqref="K5"/>
    </sheetView>
  </sheetViews>
  <sheetFormatPr defaultRowHeight="15" x14ac:dyDescent="0.25"/>
  <cols>
    <col min="2" max="2" width="27.5703125" bestFit="1" customWidth="1"/>
    <col min="3" max="3" width="13.5703125" bestFit="1" customWidth="1"/>
    <col min="5" max="5" width="12.7109375" bestFit="1" customWidth="1"/>
    <col min="6" max="6" width="1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44528</v>
      </c>
      <c r="B2" s="6" t="s">
        <v>20</v>
      </c>
      <c r="C2" s="6" t="s">
        <v>70</v>
      </c>
      <c r="D2" s="6" t="s">
        <v>21</v>
      </c>
      <c r="E2" s="6" t="s">
        <v>235</v>
      </c>
      <c r="F2" s="6" t="s">
        <v>22</v>
      </c>
      <c r="G2" s="6">
        <v>70000</v>
      </c>
      <c r="H2" s="6" t="s">
        <v>73</v>
      </c>
      <c r="I2" s="6" t="s">
        <v>74</v>
      </c>
      <c r="J2" s="7">
        <v>0.44791666666666669</v>
      </c>
      <c r="K2" s="8">
        <v>0.44097222222222227</v>
      </c>
      <c r="L2" s="7">
        <v>0.3298611111111111</v>
      </c>
      <c r="M2" s="8">
        <v>0.32430555555555557</v>
      </c>
      <c r="N2" s="6" t="s">
        <v>266</v>
      </c>
      <c r="O2" s="6" t="s">
        <v>264</v>
      </c>
      <c r="P2" s="6">
        <v>411</v>
      </c>
      <c r="Q2" s="6">
        <v>358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44528</v>
      </c>
      <c r="B3" s="6" t="s">
        <v>20</v>
      </c>
      <c r="C3" s="6" t="s">
        <v>93</v>
      </c>
      <c r="D3" s="6" t="s">
        <v>21</v>
      </c>
      <c r="E3" s="6" t="s">
        <v>253</v>
      </c>
      <c r="F3" s="6" t="s">
        <v>22</v>
      </c>
      <c r="G3" s="6">
        <v>70000</v>
      </c>
      <c r="H3" s="6" t="s">
        <v>94</v>
      </c>
      <c r="I3" s="6" t="s">
        <v>95</v>
      </c>
      <c r="J3" s="7">
        <v>0.75</v>
      </c>
      <c r="K3" s="8">
        <v>0.74236111111111114</v>
      </c>
      <c r="L3" s="7">
        <v>0.37847222222222227</v>
      </c>
      <c r="M3" s="8">
        <v>0.37916666666666665</v>
      </c>
      <c r="N3" s="6" t="s">
        <v>274</v>
      </c>
      <c r="O3" s="6" t="s">
        <v>265</v>
      </c>
      <c r="P3" s="6">
        <v>1146</v>
      </c>
      <c r="Q3" s="6">
        <v>941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44528</v>
      </c>
      <c r="B4" s="6" t="s">
        <v>20</v>
      </c>
      <c r="C4" s="6" t="s">
        <v>71</v>
      </c>
      <c r="D4" s="6" t="s">
        <v>21</v>
      </c>
      <c r="E4" s="6" t="s">
        <v>268</v>
      </c>
      <c r="F4" s="6" t="s">
        <v>22</v>
      </c>
      <c r="G4" s="6">
        <v>70000</v>
      </c>
      <c r="H4" s="6" t="s">
        <v>75</v>
      </c>
      <c r="I4" s="6" t="s">
        <v>76</v>
      </c>
      <c r="J4" s="7">
        <v>0.6875</v>
      </c>
      <c r="K4" s="8">
        <v>0.97222222222222221</v>
      </c>
      <c r="L4" s="7">
        <v>0.47916666666666669</v>
      </c>
      <c r="M4" s="8">
        <v>0.4777777777777778</v>
      </c>
      <c r="N4" s="6" t="s">
        <v>158</v>
      </c>
      <c r="O4" s="6" t="s">
        <v>267</v>
      </c>
      <c r="P4" s="6">
        <v>496</v>
      </c>
      <c r="Q4" s="6">
        <v>500</v>
      </c>
      <c r="R4" s="6">
        <v>0</v>
      </c>
      <c r="S4" s="6">
        <v>0</v>
      </c>
      <c r="T4" s="6">
        <v>0</v>
      </c>
      <c r="U4" s="6">
        <v>0</v>
      </c>
    </row>
    <row r="5" spans="1:21" x14ac:dyDescent="0.25">
      <c r="A5" s="5">
        <v>44528</v>
      </c>
      <c r="B5" s="6" t="s">
        <v>20</v>
      </c>
      <c r="C5" s="6" t="s">
        <v>72</v>
      </c>
      <c r="D5" s="6" t="s">
        <v>21</v>
      </c>
      <c r="E5" s="6" t="s">
        <v>253</v>
      </c>
      <c r="F5" s="6" t="s">
        <v>22</v>
      </c>
      <c r="G5" s="6">
        <v>70000</v>
      </c>
      <c r="H5" s="6" t="s">
        <v>77</v>
      </c>
      <c r="I5" s="6" t="s">
        <v>78</v>
      </c>
      <c r="J5" s="7">
        <v>0.91319444444444453</v>
      </c>
      <c r="K5" s="8">
        <v>6.2499999999999995E-3</v>
      </c>
      <c r="L5" s="7">
        <v>0.70833333333333337</v>
      </c>
      <c r="M5" s="8">
        <v>0.80972222222222223</v>
      </c>
      <c r="N5" s="6" t="s">
        <v>276</v>
      </c>
      <c r="O5" s="6" t="s">
        <v>190</v>
      </c>
      <c r="P5" s="6">
        <v>617</v>
      </c>
      <c r="Q5" s="6">
        <v>542</v>
      </c>
      <c r="R5" s="6">
        <v>0</v>
      </c>
      <c r="S5" s="6">
        <v>0</v>
      </c>
      <c r="T5" s="6">
        <v>0</v>
      </c>
      <c r="U5" s="6">
        <v>0</v>
      </c>
    </row>
    <row r="6" spans="1:21" s="2" customFormat="1" ht="12.75" x14ac:dyDescent="0.2">
      <c r="A6" s="5">
        <v>44528</v>
      </c>
      <c r="B6" s="2" t="s">
        <v>275</v>
      </c>
      <c r="C6" s="6" t="s">
        <v>270</v>
      </c>
      <c r="D6" s="6" t="s">
        <v>271</v>
      </c>
      <c r="E6" s="6" t="s">
        <v>272</v>
      </c>
      <c r="F6" s="6" t="s">
        <v>273</v>
      </c>
      <c r="G6" s="6">
        <v>2320</v>
      </c>
      <c r="H6" s="6" t="s">
        <v>35</v>
      </c>
      <c r="I6" s="6" t="s">
        <v>35</v>
      </c>
      <c r="J6" s="3">
        <v>0.64583333333333337</v>
      </c>
      <c r="K6" s="4">
        <v>0.64930555555555558</v>
      </c>
      <c r="L6" s="3">
        <v>0.67708333333333337</v>
      </c>
      <c r="M6" s="4">
        <v>0.68055555555555547</v>
      </c>
      <c r="N6" s="2">
        <v>0</v>
      </c>
      <c r="O6" s="2">
        <v>1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</row>
    <row r="7" spans="1:21" s="15" customFormat="1" ht="12.75" x14ac:dyDescent="0.2">
      <c r="A7" s="5">
        <v>44528</v>
      </c>
      <c r="B7" s="6" t="s">
        <v>20</v>
      </c>
      <c r="C7" s="6" t="s">
        <v>269</v>
      </c>
      <c r="D7" s="6" t="s">
        <v>21</v>
      </c>
      <c r="E7" s="6" t="s">
        <v>160</v>
      </c>
      <c r="F7" s="6" t="s">
        <v>34</v>
      </c>
      <c r="G7" s="6">
        <v>70000</v>
      </c>
      <c r="H7" s="6" t="s">
        <v>35</v>
      </c>
      <c r="I7" s="6" t="s">
        <v>210</v>
      </c>
      <c r="J7" s="3" t="s">
        <v>35</v>
      </c>
      <c r="K7" s="2" t="s">
        <v>35</v>
      </c>
      <c r="L7" s="3">
        <v>0.98611111111111116</v>
      </c>
      <c r="M7" s="4">
        <v>0.99583333333333324</v>
      </c>
      <c r="N7" s="2">
        <v>0</v>
      </c>
      <c r="O7" s="2">
        <v>0</v>
      </c>
      <c r="P7" s="2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selection activeCell="A2" sqref="A2"/>
    </sheetView>
  </sheetViews>
  <sheetFormatPr defaultRowHeight="15" x14ac:dyDescent="0.25"/>
  <cols>
    <col min="1" max="1" width="11.28515625" bestFit="1" customWidth="1"/>
    <col min="3" max="3" width="13.28515625" customWidth="1"/>
    <col min="6" max="6" width="12.28515625" customWidth="1"/>
    <col min="7" max="7" width="9.28515625" bestFit="1" customWidth="1"/>
    <col min="10" max="10" width="9.28515625" bestFit="1" customWidth="1"/>
    <col min="12" max="13" width="9.28515625" bestFit="1" customWidth="1"/>
    <col min="17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44529</v>
      </c>
      <c r="B2" s="6" t="s">
        <v>20</v>
      </c>
      <c r="C2" s="6" t="s">
        <v>24</v>
      </c>
      <c r="D2" s="6" t="s">
        <v>21</v>
      </c>
      <c r="E2" s="6" t="s">
        <v>253</v>
      </c>
      <c r="F2" s="6" t="s">
        <v>22</v>
      </c>
      <c r="G2" s="6">
        <v>70000</v>
      </c>
      <c r="H2" s="6" t="s">
        <v>26</v>
      </c>
      <c r="I2" s="6" t="s">
        <v>27</v>
      </c>
      <c r="J2" s="7">
        <v>0.77083333333333337</v>
      </c>
      <c r="K2" s="8">
        <v>0.79861111111111116</v>
      </c>
      <c r="L2" s="7">
        <v>0.31944444444444448</v>
      </c>
      <c r="M2" s="8">
        <v>0.37013888888888885</v>
      </c>
      <c r="N2" s="6" t="s">
        <v>280</v>
      </c>
      <c r="O2" s="6" t="s">
        <v>277</v>
      </c>
      <c r="P2" s="6">
        <v>603</v>
      </c>
      <c r="Q2" s="6">
        <v>743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44529</v>
      </c>
      <c r="B3" s="6" t="s">
        <v>20</v>
      </c>
      <c r="C3" s="6" t="s">
        <v>278</v>
      </c>
      <c r="D3" s="6" t="s">
        <v>21</v>
      </c>
      <c r="E3" s="6" t="s">
        <v>235</v>
      </c>
      <c r="F3" s="6" t="s">
        <v>279</v>
      </c>
      <c r="G3" s="6">
        <v>70000</v>
      </c>
      <c r="H3" s="6" t="s">
        <v>36</v>
      </c>
      <c r="I3" s="6" t="s">
        <v>35</v>
      </c>
      <c r="J3" s="7">
        <v>0.84027777777777779</v>
      </c>
      <c r="K3" s="8">
        <v>0.81041666666666667</v>
      </c>
      <c r="L3" s="6" t="s">
        <v>35</v>
      </c>
      <c r="M3" s="6" t="s">
        <v>35</v>
      </c>
      <c r="N3" s="6" t="s">
        <v>35</v>
      </c>
      <c r="O3" s="6" t="s">
        <v>35</v>
      </c>
      <c r="P3" s="6" t="s">
        <v>35</v>
      </c>
      <c r="Q3" s="6" t="s">
        <v>35</v>
      </c>
      <c r="R3" s="6" t="s">
        <v>35</v>
      </c>
      <c r="S3" s="6" t="s">
        <v>35</v>
      </c>
      <c r="T3" s="6" t="s">
        <v>35</v>
      </c>
      <c r="U3" s="6" t="s">
        <v>35</v>
      </c>
    </row>
  </sheetData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tabSelected="1" workbookViewId="0">
      <selection activeCell="O6" sqref="O6"/>
    </sheetView>
  </sheetViews>
  <sheetFormatPr defaultRowHeight="15" x14ac:dyDescent="0.25"/>
  <cols>
    <col min="1" max="1" width="10.28515625" customWidth="1"/>
    <col min="2" max="2" width="14.5703125" bestFit="1" customWidth="1"/>
    <col min="3" max="3" width="18.85546875" bestFit="1" customWidth="1"/>
    <col min="5" max="5" width="13.140625" customWidth="1"/>
    <col min="6" max="6" width="12.85546875" customWidth="1"/>
    <col min="8" max="8" width="10.42578125" customWidth="1"/>
    <col min="9" max="9" width="10.28515625" customWidth="1"/>
    <col min="10" max="10" width="10.570312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2" x14ac:dyDescent="0.25">
      <c r="A2" s="5">
        <v>44530</v>
      </c>
      <c r="B2" s="6" t="s">
        <v>20</v>
      </c>
      <c r="C2" s="6" t="s">
        <v>45</v>
      </c>
      <c r="D2" s="6" t="s">
        <v>21</v>
      </c>
      <c r="E2" s="6" t="s">
        <v>235</v>
      </c>
      <c r="F2" s="6" t="s">
        <v>22</v>
      </c>
      <c r="G2" s="6">
        <v>70000</v>
      </c>
      <c r="H2" s="6" t="s">
        <v>50</v>
      </c>
      <c r="I2" s="6" t="s">
        <v>55</v>
      </c>
      <c r="J2" s="10">
        <v>0.50347222222222221</v>
      </c>
      <c r="K2" s="8">
        <v>0.50624999999999998</v>
      </c>
      <c r="L2" s="10">
        <v>0.31944444444444448</v>
      </c>
      <c r="M2" s="8">
        <v>0.32916666666666666</v>
      </c>
      <c r="N2" s="6" t="s">
        <v>288</v>
      </c>
      <c r="O2" s="6" t="s">
        <v>282</v>
      </c>
      <c r="P2" s="6">
        <v>770</v>
      </c>
      <c r="Q2" s="6">
        <v>498</v>
      </c>
      <c r="R2" s="6">
        <v>0</v>
      </c>
      <c r="S2" s="6">
        <v>0</v>
      </c>
      <c r="T2" s="6">
        <v>0</v>
      </c>
      <c r="U2" s="6">
        <v>0</v>
      </c>
    </row>
    <row r="3" spans="1:22" x14ac:dyDescent="0.25">
      <c r="A3" s="5">
        <v>44530</v>
      </c>
      <c r="B3" s="6" t="s">
        <v>20</v>
      </c>
      <c r="C3" s="6" t="s">
        <v>46</v>
      </c>
      <c r="D3" s="6" t="s">
        <v>21</v>
      </c>
      <c r="E3" s="6" t="s">
        <v>281</v>
      </c>
      <c r="F3" s="6" t="s">
        <v>22</v>
      </c>
      <c r="G3" s="6">
        <v>70000</v>
      </c>
      <c r="H3" s="6" t="s">
        <v>51</v>
      </c>
      <c r="I3" s="6" t="s">
        <v>56</v>
      </c>
      <c r="J3" s="10">
        <v>0.69791666666666663</v>
      </c>
      <c r="K3" s="8">
        <v>0.70277777777777783</v>
      </c>
      <c r="L3" s="10">
        <v>0.53125</v>
      </c>
      <c r="M3" s="8">
        <v>0.54861111111111105</v>
      </c>
      <c r="N3" s="6" t="s">
        <v>290</v>
      </c>
      <c r="O3" s="6" t="s">
        <v>277</v>
      </c>
      <c r="P3" s="6">
        <v>513</v>
      </c>
      <c r="Q3" s="6">
        <v>732</v>
      </c>
      <c r="R3" s="6">
        <v>0</v>
      </c>
      <c r="S3" s="6">
        <v>0</v>
      </c>
      <c r="T3" s="6">
        <v>0</v>
      </c>
      <c r="U3" s="6">
        <v>0</v>
      </c>
    </row>
    <row r="4" spans="1:22" x14ac:dyDescent="0.25">
      <c r="A4" s="5">
        <v>44530</v>
      </c>
      <c r="B4" s="6" t="s">
        <v>20</v>
      </c>
      <c r="C4" s="6" t="s">
        <v>47</v>
      </c>
      <c r="D4" s="6" t="s">
        <v>21</v>
      </c>
      <c r="E4" s="6" t="s">
        <v>253</v>
      </c>
      <c r="F4" s="6" t="s">
        <v>22</v>
      </c>
      <c r="G4" s="6">
        <v>70000</v>
      </c>
      <c r="H4" s="6" t="s">
        <v>52</v>
      </c>
      <c r="I4" s="6" t="s">
        <v>57</v>
      </c>
      <c r="J4" s="10">
        <v>0.70833333333333337</v>
      </c>
      <c r="K4" s="8">
        <v>0.72916666666666663</v>
      </c>
      <c r="L4" s="10">
        <v>0.53472222222222221</v>
      </c>
      <c r="M4" s="8">
        <v>0.5541666666666667</v>
      </c>
      <c r="N4" s="6" t="s">
        <v>291</v>
      </c>
      <c r="O4" s="6" t="s">
        <v>289</v>
      </c>
      <c r="P4" s="6">
        <v>575</v>
      </c>
      <c r="Q4" s="6">
        <v>471</v>
      </c>
      <c r="R4" s="6">
        <v>0</v>
      </c>
      <c r="S4" s="6">
        <v>0</v>
      </c>
      <c r="T4" s="6">
        <v>0</v>
      </c>
      <c r="U4" s="6">
        <v>0</v>
      </c>
    </row>
    <row r="5" spans="1:22" x14ac:dyDescent="0.25">
      <c r="A5" s="11">
        <v>44530</v>
      </c>
      <c r="B5" s="6" t="s">
        <v>285</v>
      </c>
      <c r="C5" s="6" t="s">
        <v>283</v>
      </c>
      <c r="D5" s="6" t="s">
        <v>284</v>
      </c>
      <c r="E5" s="6" t="s">
        <v>286</v>
      </c>
      <c r="F5" s="6" t="s">
        <v>287</v>
      </c>
      <c r="G5" s="6">
        <v>13000</v>
      </c>
      <c r="H5" s="6" t="str">
        <f>E5</f>
        <v>OM-AVB</v>
      </c>
      <c r="I5" s="6" t="str">
        <f>H5</f>
        <v>OM-AVB</v>
      </c>
      <c r="J5" s="3">
        <v>0.43402777777777773</v>
      </c>
      <c r="K5" s="4">
        <v>0.43472222222222223</v>
      </c>
      <c r="L5" s="3">
        <v>0.47916666666666669</v>
      </c>
      <c r="M5" s="4">
        <v>0.47361111111111115</v>
      </c>
      <c r="N5" s="16">
        <v>0</v>
      </c>
      <c r="O5" s="16">
        <v>0</v>
      </c>
      <c r="P5" s="16">
        <v>0</v>
      </c>
      <c r="Q5" s="1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OPC</dc:creator>
  <cp:lastModifiedBy>OPC</cp:lastModifiedBy>
  <cp:lastPrinted>2021-09-19T15:31:38Z</cp:lastPrinted>
  <dcterms:created xsi:type="dcterms:W3CDTF">2021-02-01T03:54:40Z</dcterms:created>
  <dcterms:modified xsi:type="dcterms:W3CDTF">2021-11-30T16:44:04Z</dcterms:modified>
</cp:coreProperties>
</file>