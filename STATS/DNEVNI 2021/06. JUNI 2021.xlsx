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35" windowWidth="18195" windowHeight="11160" tabRatio="640" firstSheet="8" activeTab="29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  <calcPr calcId="145621"/>
</workbook>
</file>

<file path=xl/calcChain.xml><?xml version="1.0" encoding="utf-8"?>
<calcChain xmlns="http://schemas.openxmlformats.org/spreadsheetml/2006/main">
  <c r="E5" i="30" l="1"/>
  <c r="U6" i="30"/>
  <c r="S6" i="30"/>
  <c r="E4" i="28" l="1"/>
  <c r="E5" i="28" s="1"/>
  <c r="E5" i="25" l="1"/>
  <c r="E4" i="25"/>
  <c r="E4" i="24" l="1"/>
  <c r="A3" i="24"/>
  <c r="A4" i="24" s="1"/>
  <c r="U6" i="23" l="1"/>
  <c r="S6" i="23"/>
  <c r="U7" i="22" l="1"/>
  <c r="S7" i="22"/>
  <c r="Q7" i="22"/>
  <c r="I6" i="21" l="1"/>
  <c r="H6" i="21"/>
  <c r="M2" i="21" l="1"/>
  <c r="E4" i="21" l="1"/>
  <c r="E5" i="21" s="1"/>
  <c r="E4" i="17" l="1"/>
  <c r="A3" i="17"/>
  <c r="A4" i="17" s="1"/>
  <c r="E5" i="14" l="1"/>
  <c r="E4" i="14"/>
  <c r="A3" i="13" l="1"/>
  <c r="E3" i="10" l="1"/>
  <c r="A4" i="10"/>
  <c r="A3" i="10"/>
  <c r="E4" i="8" l="1"/>
  <c r="I6" i="5" l="1"/>
  <c r="H6" i="5"/>
  <c r="E4" i="5" l="1"/>
  <c r="I8" i="1" l="1"/>
  <c r="I7" i="1"/>
  <c r="E4" i="1" l="1"/>
</calcChain>
</file>

<file path=xl/sharedStrings.xml><?xml version="1.0" encoding="utf-8"?>
<sst xmlns="http://schemas.openxmlformats.org/spreadsheetml/2006/main" count="1861" uniqueCount="394">
  <si>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</si>
  <si>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</si>
  <si>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</si>
  <si>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</si>
  <si>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</si>
  <si>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</si>
  <si>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</si>
  <si>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</si>
  <si>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</si>
  <si>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</si>
  <si>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</si>
  <si>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</si>
  <si>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</si>
  <si>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</si>
  <si>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</si>
  <si>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</si>
  <si>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</si>
  <si>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</si>
  <si>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</si>
  <si>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</si>
  <si>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</si>
  <si>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</si>
  <si>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</si>
  <si>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</si>
  <si>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TZL-MLH-TZL</t>
  </si>
  <si>
    <t>W64294</t>
  </si>
  <si>
    <t>W64293</t>
  </si>
  <si>
    <t>TZL-EIN-TZL</t>
  </si>
  <si>
    <t>W64290</t>
  </si>
  <si>
    <t>W64289</t>
  </si>
  <si>
    <t>HA-LYK</t>
  </si>
  <si>
    <t>TZL-BER-TZL</t>
  </si>
  <si>
    <t>W64276</t>
  </si>
  <si>
    <t>W64275</t>
  </si>
  <si>
    <t>HA-LWP</t>
  </si>
  <si>
    <t>66+0 INF</t>
  </si>
  <si>
    <t>33+0 INF</t>
  </si>
  <si>
    <t>77+2 INF</t>
  </si>
  <si>
    <t>49+1INF</t>
  </si>
  <si>
    <t>67+1INF</t>
  </si>
  <si>
    <t>61+0INF</t>
  </si>
  <si>
    <t>TZL-FMM-TZL</t>
  </si>
  <si>
    <t>W64280</t>
  </si>
  <si>
    <t>W64279</t>
  </si>
  <si>
    <t>110+7INF</t>
  </si>
  <si>
    <t>125+7INF</t>
  </si>
  <si>
    <t>PINK SPARROW</t>
  </si>
  <si>
    <t>LNZ-TZL-SJJ</t>
  </si>
  <si>
    <t>OE-FRS</t>
  </si>
  <si>
    <t>NONSCHEDULED</t>
  </si>
  <si>
    <t>SOW3</t>
  </si>
  <si>
    <t>SOW4</t>
  </si>
  <si>
    <t>COMBAT AVIAITON</t>
  </si>
  <si>
    <t>UH60</t>
  </si>
  <si>
    <t>MILITARY/HEL</t>
  </si>
  <si>
    <t>R26266</t>
  </si>
  <si>
    <t>-</t>
  </si>
  <si>
    <t>R26260</t>
  </si>
  <si>
    <t>TZL-SOB</t>
  </si>
  <si>
    <t>C25A</t>
  </si>
  <si>
    <t>tip OPER</t>
  </si>
  <si>
    <t>TZL-MMX-TZL</t>
  </si>
  <si>
    <t>W64292</t>
  </si>
  <si>
    <t>W64291</t>
  </si>
  <si>
    <t>TZL-DTM-TZL</t>
  </si>
  <si>
    <t>W64298</t>
  </si>
  <si>
    <t>W64297</t>
  </si>
  <si>
    <t>TZL-GOT-TZL</t>
  </si>
  <si>
    <t>W64296</t>
  </si>
  <si>
    <t>W64295</t>
  </si>
  <si>
    <t>TZL-NYO-TZL</t>
  </si>
  <si>
    <t>W64282</t>
  </si>
  <si>
    <t>W64281</t>
  </si>
  <si>
    <t>25+1 INF</t>
  </si>
  <si>
    <t>44+1 INF</t>
  </si>
  <si>
    <t>66+2 INF</t>
  </si>
  <si>
    <t>35+1 INF</t>
  </si>
  <si>
    <t>86+2 INF</t>
  </si>
  <si>
    <t>116+3INF</t>
  </si>
  <si>
    <t>TZL-CGN-TZL</t>
  </si>
  <si>
    <t>TZLFMM-TZL</t>
  </si>
  <si>
    <t>W64300</t>
  </si>
  <si>
    <t>W64299</t>
  </si>
  <si>
    <t>53+0INF</t>
  </si>
  <si>
    <t>68+3INF</t>
  </si>
  <si>
    <t>109+1INF</t>
  </si>
  <si>
    <t>119+2INF</t>
  </si>
  <si>
    <t>122+2 INF</t>
  </si>
  <si>
    <t>92+3 INF</t>
  </si>
  <si>
    <t>TZL-HHN-TZL</t>
  </si>
  <si>
    <t>W64283</t>
  </si>
  <si>
    <t>W64284</t>
  </si>
  <si>
    <t>91+3INF</t>
  </si>
  <si>
    <t>43+1INF</t>
  </si>
  <si>
    <t>109+3INF</t>
  </si>
  <si>
    <t>30+0INF</t>
  </si>
  <si>
    <t>71+1INF</t>
  </si>
  <si>
    <t>114+4INF</t>
  </si>
  <si>
    <t>DELIĆ AIR DOO</t>
  </si>
  <si>
    <t>NCE-TZL-PUY</t>
  </si>
  <si>
    <t>C525</t>
  </si>
  <si>
    <t>T7-ACA</t>
  </si>
  <si>
    <t>GENERALNA AVIJACIJA</t>
  </si>
  <si>
    <t>126+6INF</t>
  </si>
  <si>
    <t>130+2INF</t>
  </si>
  <si>
    <t>TZL-VIE-TZL</t>
  </si>
  <si>
    <t>116+1 INF</t>
  </si>
  <si>
    <t>118+3 INF</t>
  </si>
  <si>
    <t>122+1 INF</t>
  </si>
  <si>
    <t>104+2 INF</t>
  </si>
  <si>
    <t>59+1 INF</t>
  </si>
  <si>
    <t>40+2 INF</t>
  </si>
  <si>
    <t>KONSTANTINOS BENETATOS</t>
  </si>
  <si>
    <t>IGS-TZL-IGS</t>
  </si>
  <si>
    <t>P46T</t>
  </si>
  <si>
    <t>D-FRAH</t>
  </si>
  <si>
    <t>1+0 INF</t>
  </si>
  <si>
    <t>HA-LYM</t>
  </si>
  <si>
    <t>135+2INF</t>
  </si>
  <si>
    <t>98+3INF</t>
  </si>
  <si>
    <t>TZL-VXO-TZL</t>
  </si>
  <si>
    <t>W64612</t>
  </si>
  <si>
    <t>W64611</t>
  </si>
  <si>
    <t>16.40</t>
  </si>
  <si>
    <t>16.48</t>
  </si>
  <si>
    <t>107+1INF</t>
  </si>
  <si>
    <t>16+1INF</t>
  </si>
  <si>
    <t>92+0INF</t>
  </si>
  <si>
    <t>63+3INF</t>
  </si>
  <si>
    <t>73+1 INF</t>
  </si>
  <si>
    <t>139+1 INF</t>
  </si>
  <si>
    <t>109+2 INF</t>
  </si>
  <si>
    <t>76+2 INF</t>
  </si>
  <si>
    <t>59+0INF</t>
  </si>
  <si>
    <t>52+2INF</t>
  </si>
  <si>
    <t>119+1INF</t>
  </si>
  <si>
    <t>50+0INF</t>
  </si>
  <si>
    <t>61+1INF</t>
  </si>
  <si>
    <t>73+0 INF</t>
  </si>
  <si>
    <t>102+3 INF</t>
  </si>
  <si>
    <t>FHY821</t>
  </si>
  <si>
    <t>FHY822</t>
  </si>
  <si>
    <t>65+0INF</t>
  </si>
  <si>
    <t>TC-FBR</t>
  </si>
  <si>
    <t>41+1INF</t>
  </si>
  <si>
    <t>FREBIRD</t>
  </si>
  <si>
    <t xml:space="preserve">AYT-TZL-AYT </t>
  </si>
  <si>
    <t>NON SCHEDULED</t>
  </si>
  <si>
    <t>175+5INF</t>
  </si>
  <si>
    <t>80+3INF</t>
  </si>
  <si>
    <t>45+0INF</t>
  </si>
  <si>
    <t>60+2INF</t>
  </si>
  <si>
    <t>134+6INF</t>
  </si>
  <si>
    <t>42+0INF</t>
  </si>
  <si>
    <t>52+1INF</t>
  </si>
  <si>
    <t>18+0 INF</t>
  </si>
  <si>
    <t>33+1 INF</t>
  </si>
  <si>
    <t>21+0 INF</t>
  </si>
  <si>
    <t>31+1INF</t>
  </si>
  <si>
    <t>97+2INF</t>
  </si>
  <si>
    <t>82+1INF</t>
  </si>
  <si>
    <t>OTKAZAN</t>
  </si>
  <si>
    <t>29+0INF</t>
  </si>
  <si>
    <t>51+1INF</t>
  </si>
  <si>
    <t>31+0 INF</t>
  </si>
  <si>
    <t>71+3 INF</t>
  </si>
  <si>
    <t>DTM-TZL</t>
  </si>
  <si>
    <t>62+1INF</t>
  </si>
  <si>
    <t>ROP</t>
  </si>
  <si>
    <t>58+0INF</t>
  </si>
  <si>
    <t>66+2INF</t>
  </si>
  <si>
    <t>FREEBIRD</t>
  </si>
  <si>
    <t>AYT-TZL-AYT</t>
  </si>
  <si>
    <t>NON-SCHEDULED</t>
  </si>
  <si>
    <t>TCFHC</t>
  </si>
  <si>
    <t>37+0INF</t>
  </si>
  <si>
    <t>92+1INF</t>
  </si>
  <si>
    <t>90+3INF</t>
  </si>
  <si>
    <t>27+0INF</t>
  </si>
  <si>
    <t>176+3INF</t>
  </si>
  <si>
    <t>HALYK</t>
  </si>
  <si>
    <t>HALWP/HALYT</t>
  </si>
  <si>
    <t>115+1 INF</t>
  </si>
  <si>
    <t>112+5 INF</t>
  </si>
  <si>
    <t>105+2 INF</t>
  </si>
  <si>
    <t>TZL-DTM(VIA VIE)-TZL</t>
  </si>
  <si>
    <t>135+5 INF</t>
  </si>
  <si>
    <t>HA-LYT</t>
  </si>
  <si>
    <t>92+4INF</t>
  </si>
  <si>
    <t>112+0INF</t>
  </si>
  <si>
    <t>48+1INF</t>
  </si>
  <si>
    <t>100+4INF</t>
  </si>
  <si>
    <t>111+2INF</t>
  </si>
  <si>
    <t>69+1INF</t>
  </si>
  <si>
    <t>151+5INF</t>
  </si>
  <si>
    <t>79+5INF</t>
  </si>
  <si>
    <t>134+10INF</t>
  </si>
  <si>
    <t>28+1INF</t>
  </si>
  <si>
    <t>103+3INF</t>
  </si>
  <si>
    <t>122+4INF</t>
  </si>
  <si>
    <t>74+1 INF</t>
  </si>
  <si>
    <t>97+3INF</t>
  </si>
  <si>
    <t>126+2INF</t>
  </si>
  <si>
    <t>HA-LYK/LPJ</t>
  </si>
  <si>
    <t>37+1 INF</t>
  </si>
  <si>
    <t>82+1 INF</t>
  </si>
  <si>
    <t>92+1 INF</t>
  </si>
  <si>
    <t>49+1 INF</t>
  </si>
  <si>
    <t>81+2INF</t>
  </si>
  <si>
    <t>98+2INF</t>
  </si>
  <si>
    <t>83+1INF</t>
  </si>
  <si>
    <t>85+2INF</t>
  </si>
  <si>
    <t>TCFHG</t>
  </si>
  <si>
    <t>102+4INF</t>
  </si>
  <si>
    <t>173+4INF</t>
  </si>
  <si>
    <t>141+3INF</t>
  </si>
  <si>
    <t>83+4INF</t>
  </si>
  <si>
    <t>72+1INF</t>
  </si>
  <si>
    <t>43+2INF</t>
  </si>
  <si>
    <t>72+0INF</t>
  </si>
  <si>
    <t>HA-LYT/HA-LYL</t>
  </si>
  <si>
    <t>21+0INF</t>
  </si>
  <si>
    <t>39+1INF</t>
  </si>
  <si>
    <t>56+2INF</t>
  </si>
  <si>
    <t>25+0INF</t>
  </si>
  <si>
    <t>109+5INF</t>
  </si>
  <si>
    <t>89+3INF</t>
  </si>
  <si>
    <t>78+3INF</t>
  </si>
  <si>
    <t>71+4INF</t>
  </si>
  <si>
    <t>73+1INF</t>
  </si>
  <si>
    <t>664+3INF</t>
  </si>
  <si>
    <t>HA-LYL</t>
  </si>
  <si>
    <t>HA-LAK</t>
  </si>
  <si>
    <t>27+0 INF</t>
  </si>
  <si>
    <t>63+2 INF</t>
  </si>
  <si>
    <t>49+0 INF</t>
  </si>
  <si>
    <t>89+2INF</t>
  </si>
  <si>
    <t>95+3INF</t>
  </si>
  <si>
    <t>74+2INF</t>
  </si>
  <si>
    <t>HALYL</t>
  </si>
  <si>
    <t>35+0 INF</t>
  </si>
  <si>
    <t>162+3 INF</t>
  </si>
  <si>
    <t>104+1 INF</t>
  </si>
  <si>
    <t>178+3 INF</t>
  </si>
  <si>
    <t>91+4 INF</t>
  </si>
  <si>
    <t>22+0 INF</t>
  </si>
  <si>
    <t>REDSTAR AVIATION</t>
  </si>
  <si>
    <t>SKP-TZL-IST</t>
  </si>
  <si>
    <t>LJ45</t>
  </si>
  <si>
    <t>TC-RSC</t>
  </si>
  <si>
    <t>MEDEVAC</t>
  </si>
  <si>
    <t>RHH136</t>
  </si>
  <si>
    <t>RHH137</t>
  </si>
  <si>
    <t>2+1 INF</t>
  </si>
  <si>
    <t>154+6 INF</t>
  </si>
  <si>
    <t>154+3 INF</t>
  </si>
  <si>
    <t>129+5 INF</t>
  </si>
  <si>
    <t>HA-LYH</t>
  </si>
  <si>
    <t>W64286</t>
  </si>
  <si>
    <t>W64285</t>
  </si>
  <si>
    <t>HA-LPN</t>
  </si>
  <si>
    <t>74+3INF</t>
  </si>
  <si>
    <t>122+6INF</t>
  </si>
  <si>
    <t>122+1INF</t>
  </si>
  <si>
    <t>32+0INF</t>
  </si>
  <si>
    <t>156+7 INF</t>
  </si>
  <si>
    <t>168+7 INF</t>
  </si>
  <si>
    <t>121+4 INF</t>
  </si>
  <si>
    <t>EIN-TZL-EIN</t>
  </si>
  <si>
    <t>BER-TZL-BER</t>
  </si>
  <si>
    <t>107+1 INF</t>
  </si>
  <si>
    <t>38+0 INF</t>
  </si>
  <si>
    <t>76+1 INF</t>
  </si>
  <si>
    <t>123+4INF</t>
  </si>
  <si>
    <t>33+2INF</t>
  </si>
  <si>
    <t>TZL-BLL-TZL</t>
  </si>
  <si>
    <t>W64278</t>
  </si>
  <si>
    <t>W64277</t>
  </si>
  <si>
    <t>HA-LYK/HA-LYO</t>
  </si>
  <si>
    <t>11+0INF</t>
  </si>
  <si>
    <t>127+5INF</t>
  </si>
  <si>
    <t>127+2INF</t>
  </si>
  <si>
    <t>120+5INF</t>
  </si>
  <si>
    <t>HA-LYO</t>
  </si>
  <si>
    <t>61+2 INF</t>
  </si>
  <si>
    <t>129+6 INF</t>
  </si>
  <si>
    <t>EUROFLIGHT</t>
  </si>
  <si>
    <t>VIE-TZL-VIE</t>
  </si>
  <si>
    <t>OE-FLH</t>
  </si>
  <si>
    <t>GEN. AVI</t>
  </si>
  <si>
    <t>115+3 INF</t>
  </si>
  <si>
    <t>42+1 INF</t>
  </si>
  <si>
    <t>112+2INF</t>
  </si>
  <si>
    <t>142+0INF</t>
  </si>
  <si>
    <t>103+5INF</t>
  </si>
  <si>
    <t>103+1INF</t>
  </si>
  <si>
    <t>175+2INF</t>
  </si>
  <si>
    <t>180+4INF</t>
  </si>
  <si>
    <t>TCFBR</t>
  </si>
  <si>
    <t>80+2 INF</t>
  </si>
  <si>
    <t>159+2 INF</t>
  </si>
  <si>
    <t>102+2 INF</t>
  </si>
  <si>
    <t>HI FLY</t>
  </si>
  <si>
    <t>SJJ-TZL</t>
  </si>
  <si>
    <t>A321</t>
  </si>
  <si>
    <t>CS-TRJ</t>
  </si>
  <si>
    <t>TECHNICAL</t>
  </si>
  <si>
    <t>HFY331P</t>
  </si>
  <si>
    <t>LUXWING</t>
  </si>
  <si>
    <t>SOF-TZL</t>
  </si>
  <si>
    <t>E55P</t>
  </si>
  <si>
    <t>F-HLRS</t>
  </si>
  <si>
    <t>GA PRIVATE</t>
  </si>
  <si>
    <t>LWG1571</t>
  </si>
  <si>
    <t>68+3 INF</t>
  </si>
  <si>
    <t>114+1 INF</t>
  </si>
  <si>
    <t>26+1INF</t>
  </si>
  <si>
    <t>17+0INF</t>
  </si>
  <si>
    <t>109+4INF</t>
  </si>
  <si>
    <t>119+0INF</t>
  </si>
  <si>
    <t>TZL-LRH</t>
  </si>
  <si>
    <t>83+1 INF</t>
  </si>
  <si>
    <t>64+1 INF</t>
  </si>
  <si>
    <t>34+0INF</t>
  </si>
  <si>
    <t>78+22INF</t>
  </si>
  <si>
    <t>123+3INF</t>
  </si>
  <si>
    <t>SJJ-TZL-SJJ</t>
  </si>
  <si>
    <t>TEHNICAL FLIGHT</t>
  </si>
  <si>
    <t>HIFLY</t>
  </si>
  <si>
    <t>118+0INF</t>
  </si>
  <si>
    <t>HALYO</t>
  </si>
  <si>
    <t>40+0 INF</t>
  </si>
  <si>
    <t>152+2 INF</t>
  </si>
  <si>
    <t>175+6 INF</t>
  </si>
  <si>
    <t>160+5 INF</t>
  </si>
  <si>
    <t>TC-FHC</t>
  </si>
  <si>
    <t>CHARTER</t>
  </si>
  <si>
    <t>76+4 INF</t>
  </si>
  <si>
    <t>46+2 INF</t>
  </si>
  <si>
    <t>163+0INF</t>
  </si>
  <si>
    <t>112+4INF</t>
  </si>
  <si>
    <t>96+2 INF</t>
  </si>
  <si>
    <t>112+0 INF</t>
  </si>
  <si>
    <t>150+5 INF</t>
  </si>
  <si>
    <t>68+2 INF</t>
  </si>
  <si>
    <t>136+5 INF</t>
  </si>
  <si>
    <t>119+2 INF</t>
  </si>
  <si>
    <t>173+5 INF</t>
  </si>
  <si>
    <t>45+2 INF</t>
  </si>
  <si>
    <t>179+2 INF</t>
  </si>
  <si>
    <t>133+4 INF</t>
  </si>
  <si>
    <t xml:space="preserve">HELIMASTER </t>
  </si>
  <si>
    <t>LQTB-TZL-BEG</t>
  </si>
  <si>
    <t>Aw109sp</t>
  </si>
  <si>
    <t>YUHRD</t>
  </si>
  <si>
    <t>H</t>
  </si>
  <si>
    <t>58+1INF</t>
  </si>
  <si>
    <t>50+1 INF</t>
  </si>
  <si>
    <t>144+4 INF</t>
  </si>
  <si>
    <t>139+3 INF</t>
  </si>
  <si>
    <t>156+1 INF</t>
  </si>
  <si>
    <t>123+2 INF</t>
  </si>
  <si>
    <t>136+3INF</t>
  </si>
  <si>
    <t>128+2INF</t>
  </si>
  <si>
    <t>45+2INF</t>
  </si>
  <si>
    <t>POLISH AIR FORCE</t>
  </si>
  <si>
    <t>C295</t>
  </si>
  <si>
    <t>018 OR SUB</t>
  </si>
  <si>
    <t>PLF043</t>
  </si>
  <si>
    <t>174+2INF</t>
  </si>
  <si>
    <t>120+2INF</t>
  </si>
  <si>
    <t>129+5INF</t>
  </si>
  <si>
    <t>105+4INF</t>
  </si>
  <si>
    <t>179+3 INF</t>
  </si>
  <si>
    <t>177+8 INF</t>
  </si>
  <si>
    <t>108+0 INF</t>
  </si>
  <si>
    <t>106+5 INF</t>
  </si>
  <si>
    <t>171+9 INF</t>
  </si>
  <si>
    <t>120+0INF</t>
  </si>
  <si>
    <t>114+3INF</t>
  </si>
  <si>
    <t>HA-LWZ</t>
  </si>
  <si>
    <t>29+1 INF</t>
  </si>
  <si>
    <t>TZL-SJJ</t>
  </si>
  <si>
    <t>TECHNICAL/MILITARY</t>
  </si>
  <si>
    <t>28+1 INF</t>
  </si>
  <si>
    <t>0-13</t>
  </si>
  <si>
    <t>160+2 INF</t>
  </si>
  <si>
    <t>W64626</t>
  </si>
  <si>
    <t>HA-LWR</t>
  </si>
  <si>
    <t>GOT-TZL-SJJ</t>
  </si>
  <si>
    <t>CREW</t>
  </si>
  <si>
    <t>178+4INF</t>
  </si>
  <si>
    <t>98+1INF</t>
  </si>
  <si>
    <t>153+8INF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</si>
</sst>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20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NumberFormat="1"/>
    <xf numFmtId="1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2" fontId="3" fillId="0" borderId="0" xfId="0" applyNumberFormat="1" applyFont="1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/>
    <xf numFmtId="12" fontId="3" fillId="0" borderId="0" xfId="0" applyNumberFormat="1" applyFont="1" applyAlignment="1">
      <alignment vertical="center"/>
    </xf>
    <xf numFmtId="1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C27" sqref="C27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44348</v>
      </c>
      <c r="B2" s="4" t="s">
        <v>21</v>
      </c>
      <c r="C2" s="4" t="s">
        <v>24</v>
      </c>
      <c r="D2" s="4" t="s">
        <v>22</v>
      </c>
      <c r="E2" s="4" t="s">
        <v>30</v>
      </c>
      <c r="F2" s="4" t="s">
        <v>23</v>
      </c>
      <c r="G2" s="4">
        <v>70000</v>
      </c>
      <c r="H2" s="4" t="s">
        <v>25</v>
      </c>
      <c r="I2" s="4" t="s">
        <v>26</v>
      </c>
      <c r="J2" s="5">
        <v>0.4375</v>
      </c>
      <c r="K2" s="6">
        <v>0.4201388888888889</v>
      </c>
      <c r="L2" s="5">
        <v>0.27083333333333331</v>
      </c>
      <c r="M2" s="6">
        <v>0.2722222222222222</v>
      </c>
      <c r="N2" s="4" t="s">
        <v>38</v>
      </c>
      <c r="O2" s="4" t="s">
        <v>35</v>
      </c>
      <c r="P2" s="4">
        <v>333</v>
      </c>
      <c r="Q2" s="4">
        <v>313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44348</v>
      </c>
      <c r="B3" s="4" t="s">
        <v>21</v>
      </c>
      <c r="C3" s="4" t="s">
        <v>31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32</v>
      </c>
      <c r="I3" s="4" t="s">
        <v>33</v>
      </c>
      <c r="J3" s="5">
        <v>0.57291666666666663</v>
      </c>
      <c r="K3" s="6">
        <v>0.56666666666666665</v>
      </c>
      <c r="L3" s="5">
        <v>0.39583333333333331</v>
      </c>
      <c r="M3" s="6">
        <v>0.39930555555555558</v>
      </c>
      <c r="N3" s="4" t="s">
        <v>39</v>
      </c>
      <c r="O3" s="4" t="s">
        <v>37</v>
      </c>
      <c r="P3" s="4">
        <v>458</v>
      </c>
      <c r="Q3" s="4">
        <v>458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44348</v>
      </c>
      <c r="B4" s="4" t="s">
        <v>21</v>
      </c>
      <c r="C4" s="4" t="s">
        <v>27</v>
      </c>
      <c r="D4" s="4" t="s">
        <v>22</v>
      </c>
      <c r="E4" s="4" t="str">
        <f>E2</f>
        <v>HA-LYK</v>
      </c>
      <c r="F4" s="4" t="s">
        <v>23</v>
      </c>
      <c r="G4" s="4">
        <v>70000</v>
      </c>
      <c r="H4" s="4" t="s">
        <v>28</v>
      </c>
      <c r="I4" s="4" t="s">
        <v>29</v>
      </c>
      <c r="J4" s="5">
        <v>0.67361111111111116</v>
      </c>
      <c r="K4" s="6">
        <v>0.65416666666666667</v>
      </c>
      <c r="L4" s="5">
        <v>0.46875</v>
      </c>
      <c r="M4" s="6">
        <v>0.46458333333333335</v>
      </c>
      <c r="N4" s="4" t="s">
        <v>40</v>
      </c>
      <c r="O4" s="4" t="s">
        <v>36</v>
      </c>
      <c r="P4" s="4">
        <v>558</v>
      </c>
      <c r="Q4" s="4">
        <v>181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44348</v>
      </c>
      <c r="B5" s="4" t="s">
        <v>21</v>
      </c>
      <c r="C5" s="4" t="s">
        <v>41</v>
      </c>
      <c r="D5" s="4" t="s">
        <v>22</v>
      </c>
      <c r="E5" s="4" t="s">
        <v>34</v>
      </c>
      <c r="F5" s="4" t="s">
        <v>23</v>
      </c>
      <c r="G5" s="4">
        <v>70000</v>
      </c>
      <c r="H5" s="4" t="s">
        <v>42</v>
      </c>
      <c r="I5" s="4" t="s">
        <v>43</v>
      </c>
      <c r="J5" s="5">
        <v>0.95486111111111116</v>
      </c>
      <c r="K5" s="6">
        <v>0.9604166666666667</v>
      </c>
      <c r="L5" s="5">
        <v>0.60069444444444442</v>
      </c>
      <c r="M5" s="6">
        <v>0.60486111111111118</v>
      </c>
      <c r="N5" s="4" t="s">
        <v>44</v>
      </c>
      <c r="O5" s="4" t="s">
        <v>45</v>
      </c>
      <c r="P5" s="4">
        <v>684</v>
      </c>
      <c r="Q5" s="4">
        <v>744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44348</v>
      </c>
      <c r="B6" s="4" t="s">
        <v>46</v>
      </c>
      <c r="C6" s="4" t="s">
        <v>47</v>
      </c>
      <c r="D6" s="4" t="s">
        <v>59</v>
      </c>
      <c r="E6" s="4" t="s">
        <v>48</v>
      </c>
      <c r="F6" s="4" t="s">
        <v>49</v>
      </c>
      <c r="G6" s="4">
        <v>6000</v>
      </c>
      <c r="H6" s="4" t="s">
        <v>50</v>
      </c>
      <c r="I6" s="4" t="s">
        <v>51</v>
      </c>
      <c r="J6" s="6">
        <v>0.4513888888888889</v>
      </c>
      <c r="K6" s="6">
        <v>0.45347222222222222</v>
      </c>
      <c r="L6" s="6">
        <v>0.5625</v>
      </c>
      <c r="M6" s="6">
        <v>0.58819444444444446</v>
      </c>
      <c r="N6" s="11">
        <v>4</v>
      </c>
      <c r="O6" s="9">
        <v>6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v>44348</v>
      </c>
      <c r="B7" s="4" t="s">
        <v>52</v>
      </c>
      <c r="C7" s="4" t="s">
        <v>58</v>
      </c>
      <c r="D7" s="4" t="s">
        <v>53</v>
      </c>
      <c r="E7" s="4">
        <v>26266</v>
      </c>
      <c r="F7" s="4" t="s">
        <v>54</v>
      </c>
      <c r="G7" s="4">
        <v>9979</v>
      </c>
      <c r="H7" s="4" t="s">
        <v>55</v>
      </c>
      <c r="I7" s="4" t="str">
        <f>H7</f>
        <v>R26266</v>
      </c>
      <c r="J7" s="5"/>
      <c r="K7" s="6"/>
      <c r="L7" s="5">
        <v>0.375</v>
      </c>
      <c r="M7" s="6">
        <v>0.37222222222222223</v>
      </c>
      <c r="N7" s="4" t="s">
        <v>56</v>
      </c>
      <c r="O7" s="4" t="s">
        <v>56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">
        <v>44348</v>
      </c>
      <c r="B8" s="4" t="s">
        <v>52</v>
      </c>
      <c r="C8" s="4" t="s">
        <v>58</v>
      </c>
      <c r="D8" s="4" t="s">
        <v>53</v>
      </c>
      <c r="E8" s="4">
        <v>26260</v>
      </c>
      <c r="F8" s="4" t="s">
        <v>54</v>
      </c>
      <c r="G8" s="4">
        <v>9979</v>
      </c>
      <c r="H8" s="4" t="s">
        <v>57</v>
      </c>
      <c r="I8" s="4" t="str">
        <f>H8</f>
        <v>R26260</v>
      </c>
      <c r="J8" s="5"/>
      <c r="K8" s="6"/>
      <c r="L8" s="5">
        <v>0.375</v>
      </c>
      <c r="M8" s="6">
        <v>0.37222222222222223</v>
      </c>
      <c r="N8" s="4" t="s">
        <v>56</v>
      </c>
      <c r="O8" s="4" t="s">
        <v>56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10"/>
      <c r="B9" s="10"/>
      <c r="C9" s="10"/>
      <c r="D9" s="10"/>
      <c r="E9" s="10"/>
      <c r="F9" s="10"/>
      <c r="P9" s="7"/>
    </row>
    <row r="10" spans="1:21" x14ac:dyDescent="0.25">
      <c r="A10" s="10"/>
      <c r="B10" s="10"/>
      <c r="C10" s="10"/>
      <c r="D10" s="10"/>
      <c r="E10" s="10"/>
      <c r="F10" s="10"/>
    </row>
    <row r="15" spans="1:21" x14ac:dyDescent="0.25">
      <c r="I15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44349</v>
      </c>
      <c r="B2" s="13" t="s">
        <v>21</v>
      </c>
      <c r="C2" s="13" t="s">
        <v>70</v>
      </c>
      <c r="D2" s="13" t="s">
        <v>22</v>
      </c>
      <c r="E2" s="4" t="s">
        <v>30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0.48958333333333331</v>
      </c>
      <c r="K2" s="6">
        <v>0.4770833333333333</v>
      </c>
      <c r="L2" s="5">
        <v>0.25694444444444448</v>
      </c>
      <c r="M2" s="6">
        <v>0.26319444444444445</v>
      </c>
      <c r="N2" s="4" t="s">
        <v>77</v>
      </c>
      <c r="O2" s="4" t="s">
        <v>74</v>
      </c>
      <c r="P2" s="4">
        <v>854</v>
      </c>
      <c r="Q2" s="4">
        <v>280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44349</v>
      </c>
      <c r="B3" s="13" t="s">
        <v>21</v>
      </c>
      <c r="C3" s="13" t="s">
        <v>61</v>
      </c>
      <c r="D3" s="13" t="s">
        <v>22</v>
      </c>
      <c r="E3" s="13" t="s">
        <v>34</v>
      </c>
      <c r="F3" s="13" t="s">
        <v>23</v>
      </c>
      <c r="G3" s="13">
        <v>70000</v>
      </c>
      <c r="H3" s="13" t="s">
        <v>62</v>
      </c>
      <c r="I3" s="13" t="s">
        <v>63</v>
      </c>
      <c r="J3" s="14">
        <v>0.45833333333333331</v>
      </c>
      <c r="K3" s="15">
        <v>0.44791666666666669</v>
      </c>
      <c r="L3" s="14">
        <v>0.25694444444444448</v>
      </c>
      <c r="M3" s="15">
        <v>0.24861111111111112</v>
      </c>
      <c r="N3" s="13">
        <v>52</v>
      </c>
      <c r="O3" s="13" t="s">
        <v>73</v>
      </c>
      <c r="P3" s="13">
        <v>243</v>
      </c>
      <c r="Q3" s="13">
        <v>216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44349</v>
      </c>
      <c r="B4" s="13" t="s">
        <v>21</v>
      </c>
      <c r="C4" s="13" t="s">
        <v>64</v>
      </c>
      <c r="D4" s="13" t="s">
        <v>22</v>
      </c>
      <c r="E4" s="13" t="s">
        <v>34</v>
      </c>
      <c r="F4" s="13" t="s">
        <v>23</v>
      </c>
      <c r="G4" s="13">
        <v>70000</v>
      </c>
      <c r="H4" s="13" t="s">
        <v>65</v>
      </c>
      <c r="I4" s="13" t="s">
        <v>66</v>
      </c>
      <c r="J4" s="14">
        <v>0.92708333333333337</v>
      </c>
      <c r="K4" s="15">
        <v>0.95000000000000007</v>
      </c>
      <c r="L4" s="14">
        <v>0.49305555555555558</v>
      </c>
      <c r="M4" s="15">
        <v>0.50763888888888886</v>
      </c>
      <c r="N4" s="13" t="s">
        <v>78</v>
      </c>
      <c r="O4" s="13" t="s">
        <v>75</v>
      </c>
      <c r="P4" s="13">
        <v>603</v>
      </c>
      <c r="Q4" s="13">
        <v>422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44349</v>
      </c>
      <c r="B5" s="13" t="s">
        <v>21</v>
      </c>
      <c r="C5" s="13" t="s">
        <v>67</v>
      </c>
      <c r="D5" s="13" t="s">
        <v>22</v>
      </c>
      <c r="E5" s="4" t="s">
        <v>30</v>
      </c>
      <c r="F5" s="13" t="s">
        <v>23</v>
      </c>
      <c r="G5" s="13">
        <v>70000</v>
      </c>
      <c r="H5" s="13" t="s">
        <v>68</v>
      </c>
      <c r="I5" s="13" t="s">
        <v>69</v>
      </c>
      <c r="J5" s="14">
        <v>0.73958333333333337</v>
      </c>
      <c r="K5" s="15">
        <v>0.73472222222222217</v>
      </c>
      <c r="L5" s="14">
        <v>0.51041666666666663</v>
      </c>
      <c r="M5" s="15">
        <v>0.5229166666666667</v>
      </c>
      <c r="N5" s="13">
        <v>22</v>
      </c>
      <c r="O5" s="13" t="s">
        <v>76</v>
      </c>
      <c r="P5" s="13">
        <v>148</v>
      </c>
      <c r="Q5" s="13">
        <v>296</v>
      </c>
      <c r="R5" s="4">
        <v>0</v>
      </c>
      <c r="S5" s="4">
        <v>0</v>
      </c>
      <c r="T5" s="4">
        <v>0</v>
      </c>
      <c r="U5" s="4">
        <v>0</v>
      </c>
    </row>
    <row r="6" spans="1:21" s="10" customFormat="1" x14ac:dyDescent="0.25"/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M9" sqref="M9"/>
    </sheetView>
  </sheetViews>
  <sheetFormatPr defaultRowHeight="15" x14ac:dyDescent="0.25"/>
  <cols>
    <col min="1" max="1" width="9.85546875" bestFit="1" customWidth="1"/>
    <col min="7" max="7" width="9.28515625" bestFit="1" customWidth="1"/>
    <col min="10" max="14" width="9.28515625" bestFit="1" customWidth="1"/>
    <col min="16" max="21" width="9.28515625" bestFit="1" customWidth="1"/>
  </cols>
  <sheetData>
    <row r="1" spans="1:2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6"/>
    </row>
    <row r="2" spans="1:22" x14ac:dyDescent="0.25">
      <c r="A2" s="12">
        <v>44350</v>
      </c>
      <c r="B2" s="13" t="s">
        <v>21</v>
      </c>
      <c r="C2" s="13" t="s">
        <v>24</v>
      </c>
      <c r="D2" s="13" t="s">
        <v>22</v>
      </c>
      <c r="E2" s="13" t="s">
        <v>30</v>
      </c>
      <c r="F2" s="13" t="s">
        <v>23</v>
      </c>
      <c r="G2" s="13">
        <v>70000</v>
      </c>
      <c r="H2" s="13" t="s">
        <v>25</v>
      </c>
      <c r="I2" s="13" t="s">
        <v>26</v>
      </c>
      <c r="J2" s="15">
        <v>0.4375</v>
      </c>
      <c r="K2" s="15">
        <v>0.42152777777777778</v>
      </c>
      <c r="L2" s="15">
        <v>0.27083333333333331</v>
      </c>
      <c r="M2" s="15">
        <v>0.26944444444444443</v>
      </c>
      <c r="N2" s="13" t="s">
        <v>85</v>
      </c>
      <c r="O2" s="13" t="s">
        <v>83</v>
      </c>
      <c r="P2" s="13">
        <v>670</v>
      </c>
      <c r="Q2" s="13">
        <v>319</v>
      </c>
      <c r="R2" s="13">
        <v>0</v>
      </c>
      <c r="S2" s="13">
        <v>0</v>
      </c>
      <c r="T2" s="13">
        <v>0</v>
      </c>
      <c r="U2" s="13">
        <v>0</v>
      </c>
      <c r="V2" s="16"/>
    </row>
    <row r="3" spans="1:22" x14ac:dyDescent="0.25">
      <c r="A3" s="12">
        <v>44350</v>
      </c>
      <c r="B3" s="13" t="s">
        <v>21</v>
      </c>
      <c r="C3" s="13" t="s">
        <v>79</v>
      </c>
      <c r="D3" s="13" t="s">
        <v>22</v>
      </c>
      <c r="E3" s="13" t="s">
        <v>34</v>
      </c>
      <c r="F3" s="13" t="s">
        <v>23</v>
      </c>
      <c r="G3" s="13">
        <v>70000</v>
      </c>
      <c r="H3" s="13" t="s">
        <v>81</v>
      </c>
      <c r="I3" s="13" t="s">
        <v>82</v>
      </c>
      <c r="J3" s="15">
        <v>0.58680555555555558</v>
      </c>
      <c r="K3" s="15">
        <v>0.59166666666666667</v>
      </c>
      <c r="L3" s="15">
        <v>0.39583333333333331</v>
      </c>
      <c r="M3" s="15">
        <v>0.40486111111111112</v>
      </c>
      <c r="N3" s="13" t="s">
        <v>86</v>
      </c>
      <c r="O3" s="13" t="s">
        <v>84</v>
      </c>
      <c r="P3" s="13">
        <v>737</v>
      </c>
      <c r="Q3" s="13">
        <v>529</v>
      </c>
      <c r="R3" s="13">
        <v>0</v>
      </c>
      <c r="S3" s="13">
        <v>0</v>
      </c>
      <c r="T3" s="13">
        <v>0</v>
      </c>
      <c r="U3" s="13">
        <v>0</v>
      </c>
      <c r="V3" s="16"/>
    </row>
    <row r="4" spans="1:22" x14ac:dyDescent="0.25">
      <c r="A4" s="12">
        <v>44350</v>
      </c>
      <c r="B4" s="13" t="s">
        <v>21</v>
      </c>
      <c r="C4" s="13" t="s">
        <v>80</v>
      </c>
      <c r="D4" s="13" t="s">
        <v>22</v>
      </c>
      <c r="E4" s="13" t="s">
        <v>30</v>
      </c>
      <c r="F4" s="13" t="s">
        <v>23</v>
      </c>
      <c r="G4" s="13">
        <v>70000</v>
      </c>
      <c r="H4" s="13" t="s">
        <v>42</v>
      </c>
      <c r="I4" s="13" t="s">
        <v>43</v>
      </c>
      <c r="J4" s="15">
        <v>0.94097222222222221</v>
      </c>
      <c r="K4" s="15">
        <v>0.93055555555555547</v>
      </c>
      <c r="L4" s="15">
        <v>0.87847222222222221</v>
      </c>
      <c r="M4" s="15">
        <v>0.7993055555555556</v>
      </c>
      <c r="N4" s="13" t="s">
        <v>88</v>
      </c>
      <c r="O4" s="13" t="s">
        <v>87</v>
      </c>
      <c r="P4" s="13">
        <v>573</v>
      </c>
      <c r="Q4" s="13">
        <v>970</v>
      </c>
      <c r="R4" s="13">
        <v>0</v>
      </c>
      <c r="S4" s="13">
        <v>0</v>
      </c>
      <c r="T4" s="13">
        <v>0</v>
      </c>
      <c r="U4" s="13">
        <v>0</v>
      </c>
      <c r="V4" s="16"/>
    </row>
    <row r="5" spans="1:2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C4" sqref="C4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44351</v>
      </c>
      <c r="B2" s="13" t="s">
        <v>21</v>
      </c>
      <c r="C2" s="13" t="s">
        <v>61</v>
      </c>
      <c r="D2" s="13" t="s">
        <v>22</v>
      </c>
      <c r="E2" s="13" t="s">
        <v>34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0.4513888888888889</v>
      </c>
      <c r="L2" s="14">
        <v>0.25694444444444448</v>
      </c>
      <c r="M2" s="15">
        <v>0.25763888888888892</v>
      </c>
      <c r="N2" s="13" t="s">
        <v>92</v>
      </c>
      <c r="O2" s="13" t="s">
        <v>93</v>
      </c>
      <c r="P2" s="13">
        <v>440</v>
      </c>
      <c r="Q2" s="13">
        <v>297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44351</v>
      </c>
      <c r="B3" s="13" t="s">
        <v>21</v>
      </c>
      <c r="C3" s="13" t="s">
        <v>64</v>
      </c>
      <c r="D3" s="13" t="s">
        <v>22</v>
      </c>
      <c r="E3" s="13" t="s">
        <v>30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0.92708333333333337</v>
      </c>
      <c r="K3" s="15">
        <v>0.95208333333333339</v>
      </c>
      <c r="L3" s="14">
        <v>0.49305555555555558</v>
      </c>
      <c r="M3" s="15">
        <v>0.49444444444444446</v>
      </c>
      <c r="N3" s="13" t="s">
        <v>103</v>
      </c>
      <c r="O3" s="13" t="s">
        <v>94</v>
      </c>
      <c r="P3" s="13">
        <v>1136</v>
      </c>
      <c r="Q3" s="13">
        <v>857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44351</v>
      </c>
      <c r="B4" s="13" t="s">
        <v>21</v>
      </c>
      <c r="C4" s="13" t="s">
        <v>67</v>
      </c>
      <c r="D4" s="13" t="s">
        <v>22</v>
      </c>
      <c r="E4" s="4" t="s">
        <v>34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0.73958333333333337</v>
      </c>
      <c r="K4" s="15">
        <v>0.72430555555555554</v>
      </c>
      <c r="L4" s="14">
        <v>0.51041666666666663</v>
      </c>
      <c r="M4" s="15">
        <v>0.49791666666666662</v>
      </c>
      <c r="N4" s="13" t="s">
        <v>96</v>
      </c>
      <c r="O4" s="13" t="s">
        <v>95</v>
      </c>
      <c r="P4" s="13">
        <v>420</v>
      </c>
      <c r="Q4" s="13">
        <v>331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44351</v>
      </c>
      <c r="B5" s="4" t="s">
        <v>21</v>
      </c>
      <c r="C5" s="4" t="s">
        <v>89</v>
      </c>
      <c r="D5" s="4" t="s">
        <v>22</v>
      </c>
      <c r="E5" s="4" t="s">
        <v>34</v>
      </c>
      <c r="F5" s="4" t="s">
        <v>23</v>
      </c>
      <c r="G5" s="4">
        <v>70000</v>
      </c>
      <c r="H5" s="4" t="s">
        <v>90</v>
      </c>
      <c r="I5" s="4" t="s">
        <v>91</v>
      </c>
      <c r="J5" s="6">
        <v>0.92013888888888884</v>
      </c>
      <c r="K5" s="6">
        <v>0.98819444444444438</v>
      </c>
      <c r="L5" s="6">
        <v>0.73958333333333337</v>
      </c>
      <c r="M5" s="6">
        <v>0.79166666666666663</v>
      </c>
      <c r="N5" s="4" t="s">
        <v>104</v>
      </c>
      <c r="O5" s="4" t="s">
        <v>97</v>
      </c>
      <c r="P5" s="4">
        <v>1018</v>
      </c>
      <c r="Q5" s="4">
        <v>822</v>
      </c>
      <c r="R5" s="10"/>
      <c r="S5" s="10"/>
      <c r="T5" s="10"/>
      <c r="U5" s="10"/>
    </row>
    <row r="6" spans="1:21" s="10" customFormat="1" x14ac:dyDescent="0.25">
      <c r="A6" s="3">
        <v>44351</v>
      </c>
      <c r="B6" s="4" t="s">
        <v>98</v>
      </c>
      <c r="C6" s="4" t="s">
        <v>99</v>
      </c>
      <c r="D6" s="4" t="s">
        <v>100</v>
      </c>
      <c r="E6" s="4" t="s">
        <v>101</v>
      </c>
      <c r="F6" s="4" t="s">
        <v>102</v>
      </c>
      <c r="G6" s="4">
        <v>4600</v>
      </c>
      <c r="H6" s="4" t="s">
        <v>101</v>
      </c>
      <c r="I6" s="4" t="s">
        <v>101</v>
      </c>
      <c r="J6" s="6">
        <v>0.78125</v>
      </c>
      <c r="K6" s="6">
        <v>0.81944444444444453</v>
      </c>
      <c r="L6" s="6">
        <v>0.79166666666666663</v>
      </c>
      <c r="M6" s="6">
        <v>0.81666666666666676</v>
      </c>
      <c r="N6" s="4">
        <v>2</v>
      </c>
    </row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A8" sqref="A8:T8"/>
    </sheetView>
  </sheetViews>
  <sheetFormatPr defaultRowHeight="15" x14ac:dyDescent="0.25"/>
  <cols>
    <col min="1" max="1" width="10.140625" bestFit="1" customWidth="1"/>
    <col min="2" max="2" width="27.5703125" bestFit="1" customWidth="1"/>
    <col min="3" max="3" width="14.42578125" bestFit="1" customWidth="1"/>
    <col min="4" max="4" width="5.7109375" bestFit="1" customWidth="1"/>
    <col min="5" max="5" width="8" bestFit="1" customWidth="1"/>
    <col min="6" max="6" width="16.5703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3">
        <v>44352</v>
      </c>
      <c r="B2" s="4" t="s">
        <v>21</v>
      </c>
      <c r="C2" s="4" t="s">
        <v>24</v>
      </c>
      <c r="D2" s="4" t="s">
        <v>22</v>
      </c>
      <c r="E2" s="4" t="s">
        <v>30</v>
      </c>
      <c r="F2" s="4" t="s">
        <v>23</v>
      </c>
      <c r="G2" s="4">
        <v>70000</v>
      </c>
      <c r="H2" s="4" t="s">
        <v>25</v>
      </c>
      <c r="I2" s="4" t="s">
        <v>26</v>
      </c>
      <c r="J2" s="5">
        <v>0.4375</v>
      </c>
      <c r="K2" s="6">
        <v>0.43611111111111112</v>
      </c>
      <c r="L2" s="5">
        <v>0.27083333333333331</v>
      </c>
      <c r="M2" s="6">
        <v>0.27916666666666667</v>
      </c>
      <c r="N2" s="4" t="s">
        <v>108</v>
      </c>
      <c r="O2" s="4" t="s">
        <v>106</v>
      </c>
      <c r="P2" s="4">
        <v>853</v>
      </c>
      <c r="Q2" s="4">
        <v>950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44352</v>
      </c>
      <c r="B3" s="4" t="s">
        <v>21</v>
      </c>
      <c r="C3" s="4" t="s">
        <v>41</v>
      </c>
      <c r="D3" s="4" t="s">
        <v>22</v>
      </c>
      <c r="E3" s="4" t="s">
        <v>34</v>
      </c>
      <c r="F3" s="4" t="s">
        <v>23</v>
      </c>
      <c r="G3" s="4">
        <v>70000</v>
      </c>
      <c r="H3" s="4" t="s">
        <v>32</v>
      </c>
      <c r="I3" s="4" t="s">
        <v>33</v>
      </c>
      <c r="J3" s="5">
        <v>0.44444444444444442</v>
      </c>
      <c r="K3" s="6">
        <v>0.47152777777777777</v>
      </c>
      <c r="L3" s="5">
        <v>0.2986111111111111</v>
      </c>
      <c r="M3" s="6">
        <v>0.33749999999999997</v>
      </c>
      <c r="N3" s="4" t="s">
        <v>109</v>
      </c>
      <c r="O3" s="4" t="s">
        <v>107</v>
      </c>
      <c r="P3" s="4">
        <v>703</v>
      </c>
      <c r="Q3" s="4">
        <v>799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44352</v>
      </c>
      <c r="B4" s="4" t="s">
        <v>21</v>
      </c>
      <c r="C4" s="4" t="s">
        <v>27</v>
      </c>
      <c r="D4" s="4" t="s">
        <v>22</v>
      </c>
      <c r="E4" s="4" t="str">
        <f>E2</f>
        <v>HA-LYK</v>
      </c>
      <c r="F4" s="4" t="s">
        <v>23</v>
      </c>
      <c r="G4" s="4">
        <v>70000</v>
      </c>
      <c r="H4" s="4" t="s">
        <v>28</v>
      </c>
      <c r="I4" s="4" t="s">
        <v>29</v>
      </c>
      <c r="J4" s="5">
        <v>0.67361111111111116</v>
      </c>
      <c r="K4" s="6">
        <v>0.66249999999999998</v>
      </c>
      <c r="L4" s="5">
        <v>0.46875</v>
      </c>
      <c r="M4" s="6">
        <v>0.47291666666666665</v>
      </c>
      <c r="N4" s="4" t="s">
        <v>127</v>
      </c>
      <c r="O4" s="4" t="s">
        <v>110</v>
      </c>
      <c r="P4" s="4">
        <v>710</v>
      </c>
      <c r="Q4" s="4">
        <v>339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3">
        <v>44352</v>
      </c>
      <c r="B5" s="4" t="s">
        <v>21</v>
      </c>
      <c r="C5" s="4" t="s">
        <v>105</v>
      </c>
      <c r="D5" s="4" t="s">
        <v>22</v>
      </c>
      <c r="E5" s="4" t="s">
        <v>34</v>
      </c>
      <c r="F5" s="4" t="s">
        <v>23</v>
      </c>
      <c r="G5" s="4">
        <v>70000</v>
      </c>
      <c r="H5" s="4" t="s">
        <v>42</v>
      </c>
      <c r="I5" s="4" t="s">
        <v>43</v>
      </c>
      <c r="J5" s="5">
        <v>0.85416666666666663</v>
      </c>
      <c r="K5" s="6">
        <v>0.86458333333333337</v>
      </c>
      <c r="L5" s="5">
        <v>0.4861111111111111</v>
      </c>
      <c r="M5" s="6">
        <v>0.50277777777777777</v>
      </c>
      <c r="N5" s="4" t="s">
        <v>128</v>
      </c>
      <c r="O5" s="4" t="s">
        <v>111</v>
      </c>
      <c r="P5" s="4">
        <v>402</v>
      </c>
      <c r="Q5" s="4">
        <v>263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44352</v>
      </c>
      <c r="B6" s="4" t="s">
        <v>112</v>
      </c>
      <c r="C6" s="4" t="s">
        <v>113</v>
      </c>
      <c r="D6" s="4" t="s">
        <v>114</v>
      </c>
      <c r="E6" s="4" t="s">
        <v>115</v>
      </c>
      <c r="F6" s="4" t="s">
        <v>49</v>
      </c>
      <c r="G6" s="4">
        <v>2330</v>
      </c>
      <c r="H6" s="4" t="str">
        <f>E6</f>
        <v>D-FRAH</v>
      </c>
      <c r="I6" s="4" t="str">
        <f>H6</f>
        <v>D-FRAH</v>
      </c>
      <c r="J6" s="5">
        <v>0.50694444444444442</v>
      </c>
      <c r="K6" s="6">
        <v>0.50624999999999998</v>
      </c>
      <c r="L6" s="5">
        <v>0.53125</v>
      </c>
      <c r="M6" s="6">
        <v>0.54166666666666663</v>
      </c>
      <c r="N6" s="11">
        <v>0</v>
      </c>
      <c r="O6" s="9" t="s">
        <v>116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v>44352</v>
      </c>
      <c r="B7" s="4" t="s">
        <v>21</v>
      </c>
      <c r="C7" s="4" t="s">
        <v>31</v>
      </c>
      <c r="D7" s="4" t="s">
        <v>22</v>
      </c>
      <c r="E7" s="4" t="s">
        <v>117</v>
      </c>
      <c r="F7" s="4" t="s">
        <v>23</v>
      </c>
      <c r="G7" s="4">
        <v>70000</v>
      </c>
      <c r="H7" s="4" t="s">
        <v>32</v>
      </c>
      <c r="I7" s="4" t="s">
        <v>33</v>
      </c>
      <c r="J7" s="5">
        <v>0.70486111111111116</v>
      </c>
      <c r="K7" s="6">
        <v>0.69861111111111107</v>
      </c>
      <c r="L7" s="5">
        <v>0.72916666666666663</v>
      </c>
      <c r="M7" s="6">
        <v>0.73402777777777783</v>
      </c>
      <c r="N7" s="4" t="s">
        <v>118</v>
      </c>
      <c r="O7" s="4" t="s">
        <v>119</v>
      </c>
      <c r="P7" s="4">
        <v>903</v>
      </c>
      <c r="Q7" s="4">
        <v>747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">
        <v>44352</v>
      </c>
      <c r="B8" s="4" t="s">
        <v>21</v>
      </c>
      <c r="C8" s="4" t="s">
        <v>120</v>
      </c>
      <c r="D8" s="4" t="s">
        <v>22</v>
      </c>
      <c r="E8" s="4" t="s">
        <v>30</v>
      </c>
      <c r="F8" s="4" t="s">
        <v>23</v>
      </c>
      <c r="G8" s="4">
        <v>70000</v>
      </c>
      <c r="H8" s="4" t="s">
        <v>121</v>
      </c>
      <c r="I8" s="4" t="s">
        <v>122</v>
      </c>
      <c r="J8" s="5">
        <v>0.90972222222222221</v>
      </c>
      <c r="K8" s="6">
        <v>0.91319444444444453</v>
      </c>
      <c r="L8" s="5" t="s">
        <v>123</v>
      </c>
      <c r="M8" s="6" t="s">
        <v>124</v>
      </c>
      <c r="N8" s="4" t="s">
        <v>125</v>
      </c>
      <c r="O8" s="4" t="s">
        <v>126</v>
      </c>
      <c r="P8" s="4">
        <v>820</v>
      </c>
      <c r="Q8" s="4">
        <v>95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10"/>
      <c r="B9" s="10"/>
      <c r="C9" s="10"/>
      <c r="D9" s="10"/>
      <c r="E9" s="10"/>
      <c r="F9" s="10"/>
      <c r="P9" s="7"/>
    </row>
    <row r="10" spans="1:21" x14ac:dyDescent="0.25">
      <c r="A10" s="10"/>
      <c r="B10" s="10"/>
      <c r="C10" s="10"/>
      <c r="D10" s="10"/>
      <c r="E10" s="10"/>
      <c r="F10" s="10"/>
    </row>
    <row r="15" spans="1:21" x14ac:dyDescent="0.25">
      <c r="I15" s="8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23" sqref="K23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44353</v>
      </c>
      <c r="B2" s="13" t="s">
        <v>21</v>
      </c>
      <c r="C2" s="13" t="s">
        <v>70</v>
      </c>
      <c r="D2" s="13" t="s">
        <v>22</v>
      </c>
      <c r="E2" s="4" t="s">
        <v>34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0.89583333333333337</v>
      </c>
      <c r="K2" s="6">
        <v>0.8847222222222223</v>
      </c>
      <c r="L2" s="5">
        <v>0.46875</v>
      </c>
      <c r="M2" s="6">
        <v>0.47083333333333338</v>
      </c>
      <c r="N2" s="4" t="s">
        <v>131</v>
      </c>
      <c r="O2" s="4" t="s">
        <v>129</v>
      </c>
      <c r="P2" s="4">
        <v>1135</v>
      </c>
      <c r="Q2" s="4">
        <v>719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44353</v>
      </c>
      <c r="B3" s="13" t="s">
        <v>21</v>
      </c>
      <c r="C3" s="13" t="s">
        <v>79</v>
      </c>
      <c r="D3" s="13" t="s">
        <v>22</v>
      </c>
      <c r="E3" s="13" t="s">
        <v>30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0.90625</v>
      </c>
      <c r="K3" s="15">
        <v>0.90763888888888899</v>
      </c>
      <c r="L3" s="14">
        <v>0.71527777777777779</v>
      </c>
      <c r="M3" s="15">
        <v>0.72499999999999998</v>
      </c>
      <c r="N3" s="13" t="s">
        <v>132</v>
      </c>
      <c r="O3" s="13" t="s">
        <v>130</v>
      </c>
      <c r="P3" s="13">
        <v>571</v>
      </c>
      <c r="Q3" s="13">
        <v>649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4"/>
      <c r="M4" s="15"/>
      <c r="N4" s="13"/>
      <c r="O4" s="13"/>
      <c r="P4" s="13"/>
      <c r="Q4" s="13"/>
      <c r="R4" s="4"/>
      <c r="S4" s="4"/>
      <c r="T4" s="4"/>
      <c r="U4" s="4"/>
    </row>
    <row r="5" spans="1:21" x14ac:dyDescent="0.25">
      <c r="A5" s="12"/>
      <c r="B5" s="13"/>
      <c r="C5" s="13"/>
      <c r="D5" s="13"/>
      <c r="E5" s="4"/>
      <c r="F5" s="13"/>
      <c r="G5" s="13"/>
      <c r="H5" s="13"/>
      <c r="I5" s="13"/>
      <c r="J5" s="14"/>
      <c r="K5" s="15"/>
      <c r="L5" s="14"/>
      <c r="M5" s="15"/>
      <c r="N5" s="13"/>
      <c r="O5" s="13"/>
      <c r="P5" s="13"/>
      <c r="Q5" s="13"/>
      <c r="R5" s="4"/>
      <c r="S5" s="4"/>
      <c r="T5" s="4"/>
      <c r="U5" s="4"/>
    </row>
    <row r="6" spans="1:21" s="10" customFormat="1" x14ac:dyDescent="0.25"/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U5"/>
    </sheetView>
  </sheetViews>
  <sheetFormatPr defaultRowHeight="15" x14ac:dyDescent="0.25"/>
  <cols>
    <col min="3" max="3" width="14.5703125" customWidth="1"/>
    <col min="4" max="4" width="6.140625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44354</v>
      </c>
      <c r="B2" s="13" t="s">
        <v>21</v>
      </c>
      <c r="C2" s="13" t="s">
        <v>61</v>
      </c>
      <c r="D2" s="13" t="s">
        <v>22</v>
      </c>
      <c r="E2" s="13" t="s">
        <v>34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0.43958333333333338</v>
      </c>
      <c r="L2" s="14">
        <v>0.25694444444444448</v>
      </c>
      <c r="M2" s="15">
        <v>0.25625000000000003</v>
      </c>
      <c r="N2" s="13" t="s">
        <v>134</v>
      </c>
      <c r="O2" s="13" t="s">
        <v>133</v>
      </c>
      <c r="P2" s="13">
        <v>446</v>
      </c>
      <c r="Q2" s="13">
        <v>383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44354</v>
      </c>
      <c r="B3" s="13" t="s">
        <v>21</v>
      </c>
      <c r="C3" s="13" t="s">
        <v>64</v>
      </c>
      <c r="D3" s="13" t="s">
        <v>22</v>
      </c>
      <c r="E3" s="13" t="s">
        <v>30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0.89027777777777783</v>
      </c>
      <c r="L3" s="14">
        <v>0.46875</v>
      </c>
      <c r="M3" s="15">
        <v>0.47222222222222227</v>
      </c>
      <c r="N3" s="13" t="s">
        <v>138</v>
      </c>
      <c r="O3" s="13" t="s">
        <v>135</v>
      </c>
      <c r="P3" s="13">
        <v>419</v>
      </c>
      <c r="Q3" s="13">
        <v>576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44354</v>
      </c>
      <c r="B4" s="13" t="s">
        <v>21</v>
      </c>
      <c r="C4" s="13" t="s">
        <v>67</v>
      </c>
      <c r="D4" s="13" t="s">
        <v>22</v>
      </c>
      <c r="E4" s="4" t="s">
        <v>34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0.7090277777777777</v>
      </c>
      <c r="L4" s="14">
        <v>0.53125</v>
      </c>
      <c r="M4" s="15">
        <v>0.49513888888888885</v>
      </c>
      <c r="N4" s="13" t="s">
        <v>137</v>
      </c>
      <c r="O4" s="13" t="s">
        <v>136</v>
      </c>
      <c r="P4" s="13">
        <v>362</v>
      </c>
      <c r="Q4" s="13">
        <v>411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44354</v>
      </c>
      <c r="B5" s="13" t="s">
        <v>21</v>
      </c>
      <c r="C5" s="13" t="s">
        <v>89</v>
      </c>
      <c r="D5" s="13" t="s">
        <v>22</v>
      </c>
      <c r="E5" s="13" t="s">
        <v>34</v>
      </c>
      <c r="F5" s="13" t="s">
        <v>23</v>
      </c>
      <c r="G5" s="13">
        <v>70000</v>
      </c>
      <c r="H5" s="13" t="s">
        <v>91</v>
      </c>
      <c r="I5" s="13" t="s">
        <v>90</v>
      </c>
      <c r="J5" s="6">
        <v>0.92013888888888884</v>
      </c>
      <c r="K5" s="6">
        <v>0.90902777777777777</v>
      </c>
      <c r="L5" s="6">
        <v>0.73958333333333337</v>
      </c>
      <c r="M5" s="6">
        <v>0.74236111111111114</v>
      </c>
      <c r="N5" s="16" t="s">
        <v>88</v>
      </c>
      <c r="O5" s="16" t="s">
        <v>139</v>
      </c>
      <c r="P5" s="4">
        <v>586</v>
      </c>
      <c r="Q5" s="4">
        <v>443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K28" sqref="K28"/>
    </sheetView>
  </sheetViews>
  <sheetFormatPr defaultRowHeight="15" x14ac:dyDescent="0.25"/>
  <cols>
    <col min="1" max="1" width="10.140625" bestFit="1" customWidth="1"/>
    <col min="2" max="2" width="20.140625" bestFit="1" customWidth="1"/>
    <col min="3" max="3" width="14.42578125" bestFit="1" customWidth="1"/>
    <col min="4" max="4" width="5.7109375" bestFit="1" customWidth="1"/>
    <col min="6" max="6" width="12.1406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12">
        <v>44355</v>
      </c>
      <c r="B2" s="13" t="s">
        <v>21</v>
      </c>
      <c r="C2" s="13" t="s">
        <v>24</v>
      </c>
      <c r="D2" s="13" t="s">
        <v>22</v>
      </c>
      <c r="E2" s="13" t="s">
        <v>30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0.4375</v>
      </c>
      <c r="K2" s="15">
        <v>0.4201388888888889</v>
      </c>
      <c r="L2" s="14">
        <v>0.27083333333333331</v>
      </c>
      <c r="M2" s="15">
        <v>0.26874999999999999</v>
      </c>
      <c r="N2" s="13" t="s">
        <v>144</v>
      </c>
      <c r="O2" s="13" t="s">
        <v>142</v>
      </c>
      <c r="P2" s="13">
        <v>215</v>
      </c>
      <c r="Q2" s="13">
        <v>440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44355</v>
      </c>
      <c r="B3" s="13" t="s">
        <v>21</v>
      </c>
      <c r="C3" s="13" t="s">
        <v>31</v>
      </c>
      <c r="D3" s="13" t="s">
        <v>22</v>
      </c>
      <c r="E3" s="13" t="s">
        <v>34</v>
      </c>
      <c r="F3" s="13" t="s">
        <v>23</v>
      </c>
      <c r="G3" s="13">
        <v>70000</v>
      </c>
      <c r="H3" s="13" t="s">
        <v>32</v>
      </c>
      <c r="I3" s="13" t="s">
        <v>33</v>
      </c>
      <c r="J3" s="14">
        <v>0.57291666666666663</v>
      </c>
      <c r="K3" s="15">
        <v>0.56111111111111112</v>
      </c>
      <c r="L3" s="14">
        <v>0.39583333333333331</v>
      </c>
      <c r="M3" s="15">
        <v>0.3979166666666667</v>
      </c>
      <c r="N3" s="13" t="s">
        <v>151</v>
      </c>
      <c r="O3" s="13" t="s">
        <v>149</v>
      </c>
      <c r="P3" s="13">
        <v>468</v>
      </c>
      <c r="Q3" s="13">
        <v>612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44355</v>
      </c>
      <c r="B4" s="13" t="s">
        <v>21</v>
      </c>
      <c r="C4" s="13" t="s">
        <v>27</v>
      </c>
      <c r="D4" s="13" t="s">
        <v>22</v>
      </c>
      <c r="E4" s="13" t="str">
        <f>E2</f>
        <v>HA-LYK</v>
      </c>
      <c r="F4" s="13" t="s">
        <v>23</v>
      </c>
      <c r="G4" s="13">
        <v>70000</v>
      </c>
      <c r="H4" s="13" t="s">
        <v>28</v>
      </c>
      <c r="I4" s="13" t="s">
        <v>29</v>
      </c>
      <c r="J4" s="14">
        <v>0.67361111111111116</v>
      </c>
      <c r="K4" s="15">
        <v>0.65277777777777779</v>
      </c>
      <c r="L4" s="14">
        <v>0.46875</v>
      </c>
      <c r="M4" s="15">
        <v>0.46666666666666662</v>
      </c>
      <c r="N4" s="13" t="s">
        <v>153</v>
      </c>
      <c r="O4" s="13" t="s">
        <v>150</v>
      </c>
      <c r="P4" s="13">
        <v>304</v>
      </c>
      <c r="Q4" s="13">
        <v>357</v>
      </c>
      <c r="R4" s="4">
        <v>0</v>
      </c>
      <c r="S4" s="4">
        <v>0</v>
      </c>
      <c r="T4" s="4">
        <v>0</v>
      </c>
      <c r="U4" s="4">
        <v>0</v>
      </c>
    </row>
    <row r="5" spans="1:21" s="4" customFormat="1" ht="12.75" x14ac:dyDescent="0.2">
      <c r="A5" s="12">
        <v>44355</v>
      </c>
      <c r="B5" s="13" t="s">
        <v>21</v>
      </c>
      <c r="C5" s="13" t="s">
        <v>41</v>
      </c>
      <c r="D5" s="13" t="s">
        <v>22</v>
      </c>
      <c r="E5" s="13" t="s">
        <v>34</v>
      </c>
      <c r="F5" s="13" t="s">
        <v>23</v>
      </c>
      <c r="G5" s="13">
        <v>70000</v>
      </c>
      <c r="H5" s="13" t="s">
        <v>42</v>
      </c>
      <c r="I5" s="13" t="s">
        <v>43</v>
      </c>
      <c r="J5" s="14">
        <v>0.95486111111111116</v>
      </c>
      <c r="K5" s="15">
        <v>0.95000000000000007</v>
      </c>
      <c r="L5" s="14">
        <v>0.60069444444444442</v>
      </c>
      <c r="M5" s="15">
        <v>0.6069444444444444</v>
      </c>
      <c r="N5" s="13" t="s">
        <v>154</v>
      </c>
      <c r="O5" s="13" t="s">
        <v>152</v>
      </c>
      <c r="P5" s="13">
        <v>268</v>
      </c>
      <c r="Q5" s="13">
        <v>945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12">
        <v>44355</v>
      </c>
      <c r="B6" s="13" t="s">
        <v>145</v>
      </c>
      <c r="C6" s="13" t="s">
        <v>146</v>
      </c>
      <c r="D6" s="13" t="s">
        <v>22</v>
      </c>
      <c r="E6" s="13" t="s">
        <v>143</v>
      </c>
      <c r="F6" s="13" t="s">
        <v>147</v>
      </c>
      <c r="G6" s="13">
        <v>77000</v>
      </c>
      <c r="H6" s="13" t="s">
        <v>140</v>
      </c>
      <c r="I6" s="13" t="s">
        <v>141</v>
      </c>
      <c r="J6" s="15">
        <v>0.33680555555555558</v>
      </c>
      <c r="K6" s="15">
        <v>0.33680555555555558</v>
      </c>
      <c r="L6" s="15">
        <v>0.37152777777777773</v>
      </c>
      <c r="M6" s="15">
        <v>0.3833333333333333</v>
      </c>
      <c r="N6" s="17">
        <v>0</v>
      </c>
      <c r="O6" s="18" t="s">
        <v>148</v>
      </c>
      <c r="P6" s="13">
        <v>0</v>
      </c>
      <c r="Q6" s="13">
        <v>2392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/>
      <c r="B7" s="4"/>
      <c r="C7" s="4"/>
      <c r="D7" s="4"/>
      <c r="E7" s="4"/>
      <c r="F7" s="4"/>
      <c r="G7" s="4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10"/>
      <c r="B9" s="10"/>
      <c r="C9" s="10"/>
      <c r="D9" s="10"/>
      <c r="E9" s="10"/>
      <c r="F9" s="10"/>
      <c r="P9" s="7"/>
    </row>
    <row r="10" spans="1:21" x14ac:dyDescent="0.25">
      <c r="A10" s="10"/>
      <c r="B10" s="10"/>
      <c r="C10" s="10"/>
      <c r="D10" s="10"/>
      <c r="E10" s="10"/>
      <c r="F10" s="10"/>
    </row>
    <row r="15" spans="1:21" x14ac:dyDescent="0.25">
      <c r="I15" s="8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6" sqref="K6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44356</v>
      </c>
      <c r="B2" s="13" t="s">
        <v>21</v>
      </c>
      <c r="C2" s="13" t="s">
        <v>70</v>
      </c>
      <c r="D2" s="13" t="s">
        <v>22</v>
      </c>
      <c r="E2" s="4" t="s">
        <v>30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0.48958333333333331</v>
      </c>
      <c r="K2" s="6">
        <v>0.47569444444444442</v>
      </c>
      <c r="L2" s="5">
        <v>0.25694444444444448</v>
      </c>
      <c r="M2" s="6">
        <v>0.25625000000000003</v>
      </c>
      <c r="N2" s="4" t="s">
        <v>159</v>
      </c>
      <c r="O2" s="4" t="s">
        <v>156</v>
      </c>
      <c r="P2" s="4">
        <v>915</v>
      </c>
      <c r="Q2" s="4">
        <v>312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44356</v>
      </c>
      <c r="B3" s="13" t="s">
        <v>21</v>
      </c>
      <c r="C3" s="13" t="s">
        <v>61</v>
      </c>
      <c r="D3" s="13" t="s">
        <v>22</v>
      </c>
      <c r="E3" s="13" t="s">
        <v>34</v>
      </c>
      <c r="F3" s="13" t="s">
        <v>23</v>
      </c>
      <c r="G3" s="13">
        <v>70000</v>
      </c>
      <c r="H3" s="13" t="s">
        <v>62</v>
      </c>
      <c r="I3" s="13" t="s">
        <v>63</v>
      </c>
      <c r="J3" s="14">
        <v>0.45833333333333331</v>
      </c>
      <c r="K3" s="15">
        <v>0.44444444444444442</v>
      </c>
      <c r="L3" s="14">
        <v>0.25694444444444448</v>
      </c>
      <c r="M3" s="15">
        <v>0.24652777777777779</v>
      </c>
      <c r="N3" s="13" t="s">
        <v>160</v>
      </c>
      <c r="O3" s="4" t="s">
        <v>155</v>
      </c>
      <c r="P3" s="4">
        <v>503</v>
      </c>
      <c r="Q3" s="4">
        <v>140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44356</v>
      </c>
      <c r="B4" s="13" t="s">
        <v>21</v>
      </c>
      <c r="C4" s="13" t="s">
        <v>64</v>
      </c>
      <c r="D4" s="13" t="s">
        <v>22</v>
      </c>
      <c r="E4" s="13" t="s">
        <v>34</v>
      </c>
      <c r="F4" s="13" t="s">
        <v>23</v>
      </c>
      <c r="G4" s="13">
        <v>70000</v>
      </c>
      <c r="H4" s="13" t="s">
        <v>65</v>
      </c>
      <c r="I4" s="13" t="s">
        <v>66</v>
      </c>
      <c r="J4" s="14">
        <v>0.92708333333333337</v>
      </c>
      <c r="K4" s="15" t="s">
        <v>161</v>
      </c>
      <c r="L4" s="14">
        <v>0.49305555555555558</v>
      </c>
      <c r="M4" s="15">
        <v>0.50972222222222219</v>
      </c>
      <c r="N4" s="13" t="s">
        <v>161</v>
      </c>
      <c r="O4" s="13" t="s">
        <v>129</v>
      </c>
      <c r="P4" s="13"/>
      <c r="Q4" s="13">
        <v>431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44356</v>
      </c>
      <c r="B5" s="13" t="s">
        <v>21</v>
      </c>
      <c r="C5" s="13" t="s">
        <v>67</v>
      </c>
      <c r="D5" s="13" t="s">
        <v>22</v>
      </c>
      <c r="E5" s="4" t="s">
        <v>30</v>
      </c>
      <c r="F5" s="13" t="s">
        <v>23</v>
      </c>
      <c r="G5" s="13">
        <v>70000</v>
      </c>
      <c r="H5" s="13" t="s">
        <v>68</v>
      </c>
      <c r="I5" s="13" t="s">
        <v>69</v>
      </c>
      <c r="J5" s="14">
        <v>0.73958333333333337</v>
      </c>
      <c r="K5" s="15">
        <v>0.71944444444444444</v>
      </c>
      <c r="L5" s="14">
        <v>0.51041666666666663</v>
      </c>
      <c r="M5" s="15">
        <v>0.51250000000000007</v>
      </c>
      <c r="N5" s="13" t="s">
        <v>162</v>
      </c>
      <c r="O5" s="13" t="s">
        <v>157</v>
      </c>
      <c r="P5" s="13">
        <v>461</v>
      </c>
      <c r="Q5" s="13">
        <v>76</v>
      </c>
      <c r="R5" s="4">
        <v>0</v>
      </c>
      <c r="S5" s="4">
        <v>0</v>
      </c>
      <c r="T5" s="4">
        <v>0</v>
      </c>
      <c r="U5" s="4">
        <v>0</v>
      </c>
    </row>
    <row r="6" spans="1:21" s="10" customFormat="1" x14ac:dyDescent="0.25">
      <c r="A6" s="3">
        <v>44356</v>
      </c>
      <c r="B6" s="13" t="s">
        <v>21</v>
      </c>
      <c r="C6" s="13" t="s">
        <v>89</v>
      </c>
      <c r="D6" s="13" t="s">
        <v>22</v>
      </c>
      <c r="E6" s="4" t="s">
        <v>30</v>
      </c>
      <c r="F6" s="13" t="s">
        <v>23</v>
      </c>
      <c r="G6" s="13">
        <v>70000</v>
      </c>
      <c r="H6" s="4" t="s">
        <v>91</v>
      </c>
      <c r="I6" s="4" t="s">
        <v>90</v>
      </c>
      <c r="J6" s="5">
        <v>0.95138888888888884</v>
      </c>
      <c r="K6" s="6">
        <v>0.94097222222222221</v>
      </c>
      <c r="L6" s="5">
        <v>0.77083333333333337</v>
      </c>
      <c r="M6" s="6">
        <v>0.7631944444444444</v>
      </c>
      <c r="N6" s="4" t="s">
        <v>163</v>
      </c>
      <c r="O6" s="4" t="s">
        <v>158</v>
      </c>
      <c r="P6" s="4">
        <v>292</v>
      </c>
      <c r="Q6" s="4">
        <v>141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B1" workbookViewId="0">
      <selection activeCell="N33" sqref="N33"/>
    </sheetView>
  </sheetViews>
  <sheetFormatPr defaultRowHeight="15" x14ac:dyDescent="0.25"/>
  <cols>
    <col min="1" max="1" width="9.85546875" bestFit="1" customWidth="1"/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0" max="13" width="9.28515625" bestFit="1" customWidth="1"/>
    <col min="14" max="15" width="18.42578125" bestFit="1" customWidth="1"/>
    <col min="16" max="21" width="9.28515625" bestFit="1" customWidth="1"/>
  </cols>
  <sheetData>
    <row r="1" spans="1:2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6"/>
    </row>
    <row r="2" spans="1:22" x14ac:dyDescent="0.25">
      <c r="A2" s="12">
        <v>44357</v>
      </c>
      <c r="B2" s="13" t="s">
        <v>21</v>
      </c>
      <c r="C2" s="13" t="s">
        <v>24</v>
      </c>
      <c r="D2" s="13" t="s">
        <v>22</v>
      </c>
      <c r="E2" s="13" t="s">
        <v>30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0.4375</v>
      </c>
      <c r="K2" s="15">
        <v>0.42777777777777781</v>
      </c>
      <c r="L2" s="14">
        <v>0.27083333333333331</v>
      </c>
      <c r="M2" s="15">
        <v>0.27499999999999997</v>
      </c>
      <c r="N2" s="13" t="s">
        <v>75</v>
      </c>
      <c r="O2" s="13" t="s">
        <v>164</v>
      </c>
      <c r="P2" s="13">
        <v>546</v>
      </c>
      <c r="Q2" s="13">
        <v>121</v>
      </c>
      <c r="R2" s="13">
        <v>0</v>
      </c>
      <c r="S2" s="13">
        <v>0</v>
      </c>
      <c r="T2" s="13">
        <v>0</v>
      </c>
      <c r="U2" s="13">
        <v>0</v>
      </c>
      <c r="V2" s="16"/>
    </row>
    <row r="3" spans="1:22" x14ac:dyDescent="0.25">
      <c r="A3" s="12">
        <f>A2</f>
        <v>44357</v>
      </c>
      <c r="B3" s="13" t="s">
        <v>21</v>
      </c>
      <c r="C3" s="13" t="s">
        <v>79</v>
      </c>
      <c r="D3" s="13" t="s">
        <v>22</v>
      </c>
      <c r="E3" s="13" t="str">
        <f>E2</f>
        <v>HA-LYK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0.58680555555555558</v>
      </c>
      <c r="K3" s="15">
        <v>0.63194444444444442</v>
      </c>
      <c r="L3" s="14">
        <v>0.39583333333333331</v>
      </c>
      <c r="M3" s="15">
        <v>0.4548611111111111</v>
      </c>
      <c r="N3" s="13" t="s">
        <v>167</v>
      </c>
      <c r="O3" s="13" t="s">
        <v>165</v>
      </c>
      <c r="P3" s="13">
        <v>417</v>
      </c>
      <c r="Q3" s="13">
        <v>541</v>
      </c>
      <c r="R3" s="13">
        <v>0</v>
      </c>
      <c r="S3" s="13">
        <v>0</v>
      </c>
      <c r="T3" s="13">
        <v>0</v>
      </c>
      <c r="U3" s="13">
        <v>0</v>
      </c>
      <c r="V3" s="16"/>
    </row>
    <row r="4" spans="1:22" x14ac:dyDescent="0.25">
      <c r="A4" s="12">
        <f>A3</f>
        <v>44357</v>
      </c>
      <c r="B4" s="13" t="s">
        <v>21</v>
      </c>
      <c r="C4" s="13" t="s">
        <v>80</v>
      </c>
      <c r="D4" s="13" t="s">
        <v>22</v>
      </c>
      <c r="E4" s="13" t="s">
        <v>30</v>
      </c>
      <c r="F4" s="13" t="s">
        <v>23</v>
      </c>
      <c r="G4" s="13">
        <v>70000</v>
      </c>
      <c r="H4" s="13" t="s">
        <v>42</v>
      </c>
      <c r="I4" s="13" t="s">
        <v>43</v>
      </c>
      <c r="J4" s="14">
        <v>0.94097222222222221</v>
      </c>
      <c r="K4" s="15">
        <v>0.92569444444444438</v>
      </c>
      <c r="L4" s="14">
        <v>0.79513888888888884</v>
      </c>
      <c r="M4" s="15">
        <v>0.79236111111111107</v>
      </c>
      <c r="N4" s="13" t="s">
        <v>170</v>
      </c>
      <c r="O4" s="13" t="s">
        <v>169</v>
      </c>
      <c r="P4" s="13">
        <v>470</v>
      </c>
      <c r="Q4" s="13">
        <v>277</v>
      </c>
      <c r="R4" s="13">
        <v>0</v>
      </c>
      <c r="S4" s="13">
        <v>0</v>
      </c>
      <c r="T4" s="13">
        <v>0</v>
      </c>
      <c r="U4" s="13">
        <v>0</v>
      </c>
      <c r="V4" s="16"/>
    </row>
    <row r="5" spans="1:22" s="10" customFormat="1" x14ac:dyDescent="0.25">
      <c r="A5" s="3">
        <v>44357</v>
      </c>
      <c r="B5" s="4" t="s">
        <v>21</v>
      </c>
      <c r="C5" s="4" t="s">
        <v>166</v>
      </c>
      <c r="D5" s="4" t="s">
        <v>22</v>
      </c>
      <c r="E5" s="4" t="s">
        <v>34</v>
      </c>
      <c r="F5" s="4" t="s">
        <v>23</v>
      </c>
      <c r="G5" s="4">
        <v>70000</v>
      </c>
      <c r="H5" s="4" t="s">
        <v>65</v>
      </c>
      <c r="I5" s="4" t="s">
        <v>168</v>
      </c>
      <c r="J5" s="5">
        <v>0.79166666666666663</v>
      </c>
      <c r="K5" s="6">
        <v>0.78263888888888899</v>
      </c>
      <c r="L5" s="19" t="s">
        <v>168</v>
      </c>
      <c r="M5" s="4" t="s">
        <v>168</v>
      </c>
      <c r="N5" s="4" t="s">
        <v>38</v>
      </c>
      <c r="O5" s="4" t="s">
        <v>56</v>
      </c>
      <c r="P5" s="4">
        <v>459</v>
      </c>
      <c r="Q5" s="4" t="s">
        <v>56</v>
      </c>
      <c r="R5" s="4">
        <v>0</v>
      </c>
      <c r="S5" s="4">
        <v>0</v>
      </c>
      <c r="T5" s="4">
        <v>0</v>
      </c>
      <c r="U5" s="4">
        <v>0</v>
      </c>
      <c r="V5" s="4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T6" sqref="T6"/>
    </sheetView>
  </sheetViews>
  <sheetFormatPr defaultRowHeight="15" x14ac:dyDescent="0.25"/>
  <cols>
    <col min="1" max="1" width="10.140625" bestFit="1" customWidth="1"/>
    <col min="3" max="3" width="17.140625" customWidth="1"/>
    <col min="5" max="5" width="14.85546875" customWidth="1"/>
    <col min="6" max="6" width="15.42578125" customWidth="1"/>
    <col min="8" max="8" width="13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44358</v>
      </c>
      <c r="B2" s="13" t="s">
        <v>21</v>
      </c>
      <c r="C2" s="13" t="s">
        <v>61</v>
      </c>
      <c r="D2" s="13" t="s">
        <v>22</v>
      </c>
      <c r="E2" s="13" t="s">
        <v>180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0.44166666666666665</v>
      </c>
      <c r="L2" s="14">
        <v>0.25694444444444448</v>
      </c>
      <c r="M2" s="15">
        <v>0.25416666666666665</v>
      </c>
      <c r="N2" s="13" t="s">
        <v>176</v>
      </c>
      <c r="O2" s="13" t="s">
        <v>175</v>
      </c>
      <c r="P2" s="13">
        <v>909</v>
      </c>
      <c r="Q2" s="13">
        <v>321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44358</v>
      </c>
      <c r="B3" s="13" t="s">
        <v>21</v>
      </c>
      <c r="C3" s="13" t="s">
        <v>185</v>
      </c>
      <c r="D3" s="13" t="s">
        <v>22</v>
      </c>
      <c r="E3" s="13" t="s">
        <v>181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3.4722222222222224E-2</v>
      </c>
      <c r="L3" s="14">
        <v>0.46875</v>
      </c>
      <c r="M3" s="15">
        <v>0.47430555555555554</v>
      </c>
      <c r="N3" s="13" t="s">
        <v>186</v>
      </c>
      <c r="O3" s="13" t="s">
        <v>177</v>
      </c>
      <c r="P3" s="13">
        <v>672</v>
      </c>
      <c r="Q3" s="13">
        <v>533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44358</v>
      </c>
      <c r="B4" s="13" t="s">
        <v>21</v>
      </c>
      <c r="C4" s="13" t="s">
        <v>67</v>
      </c>
      <c r="D4" s="13" t="s">
        <v>22</v>
      </c>
      <c r="E4" s="13" t="s">
        <v>180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0.74722222222222223</v>
      </c>
      <c r="L4" s="14">
        <v>0.48958333333333331</v>
      </c>
      <c r="M4" s="15">
        <v>0.4861111111111111</v>
      </c>
      <c r="N4" s="13" t="s">
        <v>182</v>
      </c>
      <c r="O4" s="13" t="s">
        <v>178</v>
      </c>
      <c r="P4" s="13">
        <v>868</v>
      </c>
      <c r="Q4" s="13">
        <v>140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44358</v>
      </c>
      <c r="B5" s="13" t="s">
        <v>21</v>
      </c>
      <c r="C5" s="13" t="s">
        <v>89</v>
      </c>
      <c r="D5" s="13" t="s">
        <v>22</v>
      </c>
      <c r="E5" s="13" t="s">
        <v>180</v>
      </c>
      <c r="F5" s="13" t="s">
        <v>23</v>
      </c>
      <c r="G5" s="13">
        <v>70000</v>
      </c>
      <c r="H5" s="13" t="s">
        <v>91</v>
      </c>
      <c r="I5" s="13" t="s">
        <v>90</v>
      </c>
      <c r="J5" s="6">
        <v>0.92013888888888884</v>
      </c>
      <c r="K5" s="6">
        <v>0.95763888888888893</v>
      </c>
      <c r="L5" s="6">
        <v>0.73958333333333337</v>
      </c>
      <c r="M5" s="6">
        <v>0.78125</v>
      </c>
      <c r="N5" s="16" t="s">
        <v>184</v>
      </c>
      <c r="O5" s="16" t="s">
        <v>183</v>
      </c>
      <c r="P5" s="4">
        <v>565</v>
      </c>
      <c r="Q5" s="4">
        <v>890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12">
        <v>44358</v>
      </c>
      <c r="B6" s="13" t="s">
        <v>171</v>
      </c>
      <c r="C6" s="13" t="s">
        <v>172</v>
      </c>
      <c r="D6" s="13" t="s">
        <v>22</v>
      </c>
      <c r="E6" s="4" t="s">
        <v>174</v>
      </c>
      <c r="F6" s="13" t="s">
        <v>173</v>
      </c>
      <c r="G6" s="13">
        <v>77000</v>
      </c>
      <c r="H6" s="13" t="s">
        <v>140</v>
      </c>
      <c r="I6" s="13" t="s">
        <v>141</v>
      </c>
      <c r="J6" s="15">
        <v>0.3298611111111111</v>
      </c>
      <c r="K6" s="15">
        <v>0.34375</v>
      </c>
      <c r="L6" s="15">
        <v>0.37152777777777773</v>
      </c>
      <c r="M6" s="15">
        <v>0.38611111111111113</v>
      </c>
      <c r="N6" s="13" t="s">
        <v>56</v>
      </c>
      <c r="O6" s="13" t="s">
        <v>179</v>
      </c>
      <c r="P6" s="10" t="s">
        <v>56</v>
      </c>
      <c r="Q6" s="13">
        <v>2218</v>
      </c>
      <c r="R6" s="10">
        <v>0</v>
      </c>
      <c r="S6" s="10">
        <v>0</v>
      </c>
      <c r="T6" s="10">
        <v>0</v>
      </c>
      <c r="U6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44359</v>
      </c>
      <c r="B2" s="4" t="s">
        <v>21</v>
      </c>
      <c r="C2" s="4" t="s">
        <v>105</v>
      </c>
      <c r="D2" s="4" t="s">
        <v>22</v>
      </c>
      <c r="E2" s="4" t="s">
        <v>187</v>
      </c>
      <c r="F2" s="4" t="s">
        <v>23</v>
      </c>
      <c r="G2" s="4">
        <v>70000</v>
      </c>
      <c r="H2" s="4" t="s">
        <v>42</v>
      </c>
      <c r="I2" s="4" t="s">
        <v>43</v>
      </c>
      <c r="J2" s="5">
        <v>0.375</v>
      </c>
      <c r="K2" s="6">
        <v>0.37152777777777773</v>
      </c>
      <c r="L2" s="5">
        <v>0.25694444444444448</v>
      </c>
      <c r="M2" s="6">
        <v>0.26527777777777778</v>
      </c>
      <c r="N2" s="4" t="s">
        <v>188</v>
      </c>
      <c r="O2" s="4" t="s">
        <v>190</v>
      </c>
      <c r="P2" s="4">
        <v>554</v>
      </c>
      <c r="Q2" s="4">
        <v>202</v>
      </c>
      <c r="R2" s="4">
        <v>0</v>
      </c>
      <c r="S2" s="4">
        <v>0</v>
      </c>
      <c r="T2" s="4">
        <v>0</v>
      </c>
      <c r="U2" s="4"/>
    </row>
    <row r="3" spans="1:21" x14ac:dyDescent="0.25">
      <c r="A3" s="3">
        <v>44359</v>
      </c>
      <c r="B3" s="4" t="s">
        <v>21</v>
      </c>
      <c r="C3" s="4" t="s">
        <v>24</v>
      </c>
      <c r="D3" s="4" t="s">
        <v>22</v>
      </c>
      <c r="E3" s="4" t="s">
        <v>30</v>
      </c>
      <c r="F3" s="4" t="s">
        <v>23</v>
      </c>
      <c r="G3" s="4">
        <v>70000</v>
      </c>
      <c r="H3" s="4" t="s">
        <v>25</v>
      </c>
      <c r="I3" s="4" t="s">
        <v>26</v>
      </c>
      <c r="J3" s="5">
        <v>0.4375</v>
      </c>
      <c r="K3" s="6">
        <v>0.43611111111111112</v>
      </c>
      <c r="L3" s="5">
        <v>0.27083333333333331</v>
      </c>
      <c r="M3" s="6">
        <v>0.28333333333333333</v>
      </c>
      <c r="N3" s="4" t="s">
        <v>189</v>
      </c>
      <c r="O3" s="4" t="s">
        <v>191</v>
      </c>
      <c r="P3" s="4">
        <v>742</v>
      </c>
      <c r="Q3" s="4">
        <v>863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44359</v>
      </c>
      <c r="B4" s="4" t="s">
        <v>21</v>
      </c>
      <c r="C4" s="4" t="s">
        <v>31</v>
      </c>
      <c r="D4" s="4" t="s">
        <v>22</v>
      </c>
      <c r="E4" s="4" t="s">
        <v>187</v>
      </c>
      <c r="F4" s="4" t="s">
        <v>23</v>
      </c>
      <c r="G4" s="4">
        <v>70000</v>
      </c>
      <c r="H4" s="4" t="s">
        <v>32</v>
      </c>
      <c r="I4" s="4" t="s">
        <v>33</v>
      </c>
      <c r="J4" s="5">
        <v>0.57291666666666663</v>
      </c>
      <c r="K4" s="6">
        <v>0.57638888888888895</v>
      </c>
      <c r="L4" s="5">
        <v>0.39583333333333331</v>
      </c>
      <c r="M4" s="6">
        <v>0.39930555555555558</v>
      </c>
      <c r="N4" s="4" t="s">
        <v>194</v>
      </c>
      <c r="O4" s="4" t="s">
        <v>192</v>
      </c>
      <c r="P4" s="4">
        <v>1036</v>
      </c>
      <c r="Q4" s="4">
        <v>845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44359</v>
      </c>
      <c r="B5" s="4" t="s">
        <v>21</v>
      </c>
      <c r="C5" s="4" t="s">
        <v>27</v>
      </c>
      <c r="D5" s="4" t="s">
        <v>22</v>
      </c>
      <c r="E5" s="4" t="s">
        <v>30</v>
      </c>
      <c r="F5" s="4" t="s">
        <v>23</v>
      </c>
      <c r="G5" s="4">
        <v>70000</v>
      </c>
      <c r="H5" s="4" t="s">
        <v>28</v>
      </c>
      <c r="I5" s="4" t="s">
        <v>29</v>
      </c>
      <c r="J5" s="5">
        <v>0.67361111111111116</v>
      </c>
      <c r="K5" s="6">
        <v>0.65277777777777779</v>
      </c>
      <c r="L5" s="5">
        <v>0.46875</v>
      </c>
      <c r="M5" s="6">
        <v>0.46875</v>
      </c>
      <c r="N5" s="4" t="s">
        <v>195</v>
      </c>
      <c r="O5" s="4" t="s">
        <v>193</v>
      </c>
      <c r="P5" s="4">
        <v>685</v>
      </c>
      <c r="Q5" s="4">
        <v>476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v>44359</v>
      </c>
      <c r="B6" s="4" t="s">
        <v>21</v>
      </c>
      <c r="C6" s="4" t="s">
        <v>41</v>
      </c>
      <c r="D6" s="4" t="s">
        <v>22</v>
      </c>
      <c r="E6" s="4" t="s">
        <v>187</v>
      </c>
      <c r="F6" s="4" t="s">
        <v>23</v>
      </c>
      <c r="G6" s="4">
        <v>70000</v>
      </c>
      <c r="H6" s="4" t="s">
        <v>42</v>
      </c>
      <c r="I6" s="4" t="s">
        <v>43</v>
      </c>
      <c r="J6" s="5">
        <v>0.95486111111111116</v>
      </c>
      <c r="K6" s="6">
        <v>0.9604166666666667</v>
      </c>
      <c r="L6" s="5">
        <v>0.60069444444444442</v>
      </c>
      <c r="M6" s="6">
        <v>0.61319444444444449</v>
      </c>
      <c r="N6" s="4" t="s">
        <v>199</v>
      </c>
      <c r="O6" s="4" t="s">
        <v>196</v>
      </c>
      <c r="P6" s="4">
        <v>933</v>
      </c>
      <c r="Q6" s="4">
        <v>1030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>
        <v>44359</v>
      </c>
      <c r="B7" s="4" t="s">
        <v>21</v>
      </c>
      <c r="C7" s="4" t="s">
        <v>120</v>
      </c>
      <c r="D7" s="4" t="s">
        <v>22</v>
      </c>
      <c r="E7" s="4" t="s">
        <v>30</v>
      </c>
      <c r="F7" s="4" t="s">
        <v>23</v>
      </c>
      <c r="G7" s="4">
        <v>70000</v>
      </c>
      <c r="H7" s="4" t="s">
        <v>121</v>
      </c>
      <c r="I7" s="4" t="s">
        <v>122</v>
      </c>
      <c r="J7" s="5">
        <v>0.90972222222222221</v>
      </c>
      <c r="K7" s="6">
        <v>0.89166666666666661</v>
      </c>
      <c r="L7" s="5" t="s">
        <v>123</v>
      </c>
      <c r="M7" s="6">
        <v>0.69236111111111109</v>
      </c>
      <c r="N7" s="4" t="s">
        <v>198</v>
      </c>
      <c r="O7" s="4" t="s">
        <v>197</v>
      </c>
      <c r="P7" s="4">
        <v>966</v>
      </c>
      <c r="Q7" s="4">
        <v>157</v>
      </c>
      <c r="R7" s="4">
        <v>0</v>
      </c>
      <c r="S7" s="4">
        <v>0</v>
      </c>
      <c r="T7" s="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Q3" sqref="Q3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44360</v>
      </c>
      <c r="B2" s="13" t="s">
        <v>21</v>
      </c>
      <c r="C2" s="13" t="s">
        <v>70</v>
      </c>
      <c r="D2" s="13" t="s">
        <v>22</v>
      </c>
      <c r="E2" s="4" t="s">
        <v>30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0.89583333333333337</v>
      </c>
      <c r="K2" s="6">
        <v>0.87777777777777777</v>
      </c>
      <c r="L2" s="5">
        <v>0.46875</v>
      </c>
      <c r="M2" s="6">
        <v>0.46736111111111112</v>
      </c>
      <c r="N2" s="4" t="s">
        <v>104</v>
      </c>
      <c r="O2" s="4" t="s">
        <v>200</v>
      </c>
      <c r="P2" s="4">
        <v>958</v>
      </c>
      <c r="Q2" s="4">
        <v>741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f>A2</f>
        <v>44360</v>
      </c>
      <c r="B3" s="13" t="s">
        <v>21</v>
      </c>
      <c r="C3" s="13" t="s">
        <v>79</v>
      </c>
      <c r="D3" s="13" t="s">
        <v>22</v>
      </c>
      <c r="E3" s="13" t="s">
        <v>187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0.90625</v>
      </c>
      <c r="K3" s="15">
        <v>0.90277777777777779</v>
      </c>
      <c r="L3" s="14">
        <v>0.71527777777777779</v>
      </c>
      <c r="M3" s="15">
        <v>0.72777777777777775</v>
      </c>
      <c r="N3" s="13" t="s">
        <v>201</v>
      </c>
      <c r="O3" s="13" t="s">
        <v>202</v>
      </c>
      <c r="P3" s="13">
        <v>966</v>
      </c>
      <c r="Q3" s="13">
        <v>807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4"/>
      <c r="M4" s="15"/>
      <c r="N4" s="13"/>
      <c r="O4" s="13"/>
      <c r="P4" s="13"/>
      <c r="Q4" s="13"/>
      <c r="R4" s="4"/>
      <c r="S4" s="4"/>
      <c r="T4" s="4"/>
      <c r="U4" s="4"/>
    </row>
    <row r="5" spans="1:21" x14ac:dyDescent="0.25">
      <c r="A5" s="12"/>
      <c r="B5" s="13"/>
      <c r="C5" s="13"/>
      <c r="D5" s="13"/>
      <c r="E5" s="4"/>
      <c r="F5" s="13"/>
      <c r="G5" s="13"/>
      <c r="H5" s="13"/>
      <c r="I5" s="13"/>
      <c r="J5" s="14"/>
      <c r="K5" s="15"/>
      <c r="L5" s="14"/>
      <c r="M5" s="15"/>
      <c r="N5" s="13"/>
      <c r="O5" s="13"/>
      <c r="P5" s="13"/>
      <c r="Q5" s="13"/>
      <c r="R5" s="4"/>
      <c r="S5" s="4"/>
      <c r="T5" s="4"/>
      <c r="U5" s="4"/>
    </row>
    <row r="6" spans="1:21" s="10" customFormat="1" x14ac:dyDescent="0.25"/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U6"/>
    </sheetView>
  </sheetViews>
  <sheetFormatPr defaultRowHeight="15" x14ac:dyDescent="0.25"/>
  <cols>
    <col min="3" max="3" width="14.5703125" customWidth="1"/>
    <col min="4" max="4" width="6.140625" customWidth="1"/>
    <col min="5" max="5" width="11.7109375" bestFit="1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44361</v>
      </c>
      <c r="B2" s="13" t="s">
        <v>21</v>
      </c>
      <c r="C2" s="13" t="s">
        <v>61</v>
      </c>
      <c r="D2" s="13" t="s">
        <v>22</v>
      </c>
      <c r="E2" s="13" t="s">
        <v>187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0.44236111111111115</v>
      </c>
      <c r="L2" s="14">
        <v>0.25694444444444448</v>
      </c>
      <c r="M2" s="15">
        <v>0.25625000000000003</v>
      </c>
      <c r="N2" s="13" t="s">
        <v>205</v>
      </c>
      <c r="O2" s="13" t="s">
        <v>204</v>
      </c>
      <c r="P2" s="13">
        <v>493</v>
      </c>
      <c r="Q2" s="13">
        <v>205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44361</v>
      </c>
      <c r="B3" s="13" t="s">
        <v>21</v>
      </c>
      <c r="C3" s="13" t="s">
        <v>64</v>
      </c>
      <c r="D3" s="13" t="s">
        <v>22</v>
      </c>
      <c r="E3" s="13" t="s">
        <v>203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0.91388888888888886</v>
      </c>
      <c r="L3" s="14">
        <v>0.46875</v>
      </c>
      <c r="M3" s="15">
        <v>0.48194444444444445</v>
      </c>
      <c r="N3" s="13" t="s">
        <v>210</v>
      </c>
      <c r="O3" s="13" t="s">
        <v>206</v>
      </c>
      <c r="P3" s="13">
        <v>397</v>
      </c>
      <c r="Q3" s="13">
        <v>490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44361</v>
      </c>
      <c r="B4" s="13" t="s">
        <v>21</v>
      </c>
      <c r="C4" s="13" t="s">
        <v>67</v>
      </c>
      <c r="D4" s="13" t="s">
        <v>22</v>
      </c>
      <c r="E4" s="4" t="str">
        <f>E2</f>
        <v>HA-LYT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0.70347222222222217</v>
      </c>
      <c r="L4" s="14">
        <v>0.53125</v>
      </c>
      <c r="M4" s="15">
        <v>0.48680555555555555</v>
      </c>
      <c r="N4" s="13" t="s">
        <v>208</v>
      </c>
      <c r="O4" s="13" t="s">
        <v>207</v>
      </c>
      <c r="P4" s="13">
        <v>538</v>
      </c>
      <c r="Q4" s="13">
        <v>321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44361</v>
      </c>
      <c r="B5" s="13" t="s">
        <v>21</v>
      </c>
      <c r="C5" s="13" t="s">
        <v>89</v>
      </c>
      <c r="D5" s="13" t="s">
        <v>22</v>
      </c>
      <c r="E5" s="13" t="str">
        <f>E4</f>
        <v>HA-LYT</v>
      </c>
      <c r="F5" s="13" t="s">
        <v>23</v>
      </c>
      <c r="G5" s="13">
        <v>70000</v>
      </c>
      <c r="H5" s="13" t="s">
        <v>91</v>
      </c>
      <c r="I5" s="13" t="s">
        <v>90</v>
      </c>
      <c r="J5" s="5">
        <v>0.92013888888888884</v>
      </c>
      <c r="K5" s="6">
        <v>0.90833333333333333</v>
      </c>
      <c r="L5" s="5">
        <v>0.73958333333333337</v>
      </c>
      <c r="M5" s="6">
        <v>0.73958333333333337</v>
      </c>
      <c r="N5" s="4" t="s">
        <v>211</v>
      </c>
      <c r="O5" s="4" t="s">
        <v>209</v>
      </c>
      <c r="P5" s="4">
        <v>674</v>
      </c>
      <c r="Q5" s="4">
        <v>555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H33" sqref="H32:H33"/>
    </sheetView>
  </sheetViews>
  <sheetFormatPr defaultRowHeight="15" x14ac:dyDescent="0.25"/>
  <cols>
    <col min="3" max="3" width="13.28515625" bestFit="1" customWidth="1"/>
    <col min="4" max="4" width="5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44362</v>
      </c>
      <c r="B2" s="13" t="s">
        <v>21</v>
      </c>
      <c r="C2" s="13" t="s">
        <v>31</v>
      </c>
      <c r="D2" s="13" t="s">
        <v>22</v>
      </c>
      <c r="E2" s="13" t="s">
        <v>30</v>
      </c>
      <c r="F2" s="13" t="s">
        <v>23</v>
      </c>
      <c r="G2" s="13">
        <v>70000</v>
      </c>
      <c r="H2" s="13" t="s">
        <v>32</v>
      </c>
      <c r="I2" s="13" t="s">
        <v>33</v>
      </c>
      <c r="J2" s="14">
        <v>0.57291666666666663</v>
      </c>
      <c r="K2" s="15">
        <v>0.56805555555555554</v>
      </c>
      <c r="L2" s="14">
        <v>0.39583333333333331</v>
      </c>
      <c r="M2" s="15">
        <v>0.41111111111111115</v>
      </c>
      <c r="N2" s="13" t="s">
        <v>215</v>
      </c>
      <c r="O2" s="13" t="s">
        <v>211</v>
      </c>
      <c r="P2" s="13">
        <v>1039</v>
      </c>
      <c r="Q2" s="13">
        <v>600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44362</v>
      </c>
      <c r="B3" s="13" t="s">
        <v>21</v>
      </c>
      <c r="C3" s="13" t="s">
        <v>41</v>
      </c>
      <c r="D3" s="13" t="s">
        <v>22</v>
      </c>
      <c r="E3" s="13" t="s">
        <v>30</v>
      </c>
      <c r="F3" s="13" t="s">
        <v>23</v>
      </c>
      <c r="G3" s="13">
        <v>70000</v>
      </c>
      <c r="H3" s="13" t="s">
        <v>42</v>
      </c>
      <c r="I3" s="13" t="s">
        <v>43</v>
      </c>
      <c r="J3" s="14">
        <v>0.95486111111111116</v>
      </c>
      <c r="K3" s="15">
        <v>0.94027777777777777</v>
      </c>
      <c r="L3" s="14">
        <v>0.60069444444444442</v>
      </c>
      <c r="M3" s="15">
        <v>0.61041666666666672</v>
      </c>
      <c r="N3" s="13" t="s">
        <v>219</v>
      </c>
      <c r="O3" s="13" t="s">
        <v>216</v>
      </c>
      <c r="P3" s="13">
        <v>357</v>
      </c>
      <c r="Q3" s="13">
        <v>418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44362</v>
      </c>
      <c r="B4" s="13" t="s">
        <v>21</v>
      </c>
      <c r="C4" s="13" t="s">
        <v>24</v>
      </c>
      <c r="D4" s="13" t="s">
        <v>22</v>
      </c>
      <c r="E4" s="4" t="s">
        <v>187</v>
      </c>
      <c r="F4" s="13" t="s">
        <v>23</v>
      </c>
      <c r="G4" s="13">
        <v>70000</v>
      </c>
      <c r="H4" s="13" t="s">
        <v>25</v>
      </c>
      <c r="I4" s="13" t="s">
        <v>26</v>
      </c>
      <c r="J4" s="14">
        <v>0.9375</v>
      </c>
      <c r="K4" s="15">
        <v>0.92152777777777783</v>
      </c>
      <c r="L4" s="14">
        <v>0.77083333333333337</v>
      </c>
      <c r="M4" s="15">
        <v>0.7715277777777777</v>
      </c>
      <c r="N4" s="13" t="s">
        <v>218</v>
      </c>
      <c r="O4" s="13" t="s">
        <v>217</v>
      </c>
      <c r="P4" s="13">
        <v>233</v>
      </c>
      <c r="Q4" s="13">
        <v>400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44362</v>
      </c>
      <c r="B5" s="13" t="s">
        <v>171</v>
      </c>
      <c r="C5" s="13" t="s">
        <v>172</v>
      </c>
      <c r="D5" s="13" t="s">
        <v>22</v>
      </c>
      <c r="E5" s="13" t="s">
        <v>212</v>
      </c>
      <c r="F5" s="13" t="s">
        <v>173</v>
      </c>
      <c r="G5" s="13">
        <v>77000</v>
      </c>
      <c r="H5" s="13" t="s">
        <v>140</v>
      </c>
      <c r="I5" s="13" t="s">
        <v>141</v>
      </c>
      <c r="J5" s="5">
        <v>0.3298611111111111</v>
      </c>
      <c r="K5" s="6">
        <v>0.30833333333333335</v>
      </c>
      <c r="L5" s="5">
        <v>0.37152777777777773</v>
      </c>
      <c r="M5" s="6">
        <v>0.37708333333333338</v>
      </c>
      <c r="N5" s="4" t="s">
        <v>213</v>
      </c>
      <c r="O5" s="4" t="s">
        <v>214</v>
      </c>
      <c r="P5" s="4">
        <v>1494</v>
      </c>
      <c r="Q5" s="4">
        <v>2140</v>
      </c>
      <c r="R5" s="4">
        <v>0</v>
      </c>
      <c r="S5" s="4">
        <v>0</v>
      </c>
      <c r="T5" s="4">
        <v>0</v>
      </c>
      <c r="U5" s="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1" sqref="B1:U7"/>
    </sheetView>
  </sheetViews>
  <sheetFormatPr defaultRowHeight="15" x14ac:dyDescent="0.25"/>
  <cols>
    <col min="1" max="1" width="10.140625" bestFit="1" customWidth="1"/>
    <col min="2" max="2" width="9.140625" bestFit="1" customWidth="1"/>
    <col min="3" max="3" width="14" bestFit="1" customWidth="1"/>
    <col min="5" max="5" width="13.42578125" customWidth="1"/>
    <col min="6" max="6" width="14.7109375" bestFit="1" customWidth="1"/>
    <col min="14" max="14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44363</v>
      </c>
      <c r="B2" s="13" t="s">
        <v>21</v>
      </c>
      <c r="C2" s="13" t="s">
        <v>70</v>
      </c>
      <c r="D2" s="13" t="s">
        <v>22</v>
      </c>
      <c r="E2" s="4" t="s">
        <v>30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0.48958333333333331</v>
      </c>
      <c r="K2" s="6">
        <v>0.48958333333333331</v>
      </c>
      <c r="L2" s="5">
        <v>0.25694444444444448</v>
      </c>
      <c r="M2" s="6">
        <v>0.25277777777777777</v>
      </c>
      <c r="N2" s="4" t="s">
        <v>225</v>
      </c>
      <c r="O2" s="4" t="s">
        <v>221</v>
      </c>
      <c r="P2" s="4">
        <v>820</v>
      </c>
      <c r="Q2" s="4">
        <v>168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44363</v>
      </c>
      <c r="B3" s="13" t="s">
        <v>21</v>
      </c>
      <c r="C3" s="13" t="s">
        <v>61</v>
      </c>
      <c r="D3" s="13" t="s">
        <v>22</v>
      </c>
      <c r="E3" s="13" t="s">
        <v>187</v>
      </c>
      <c r="F3" s="13" t="s">
        <v>23</v>
      </c>
      <c r="G3" s="13">
        <v>70000</v>
      </c>
      <c r="H3" s="13" t="s">
        <v>62</v>
      </c>
      <c r="I3" s="13" t="s">
        <v>63</v>
      </c>
      <c r="J3" s="14">
        <v>0.45833333333333331</v>
      </c>
      <c r="K3" s="15">
        <v>0.44722222222222219</v>
      </c>
      <c r="L3" s="14">
        <v>0.25694444444444448</v>
      </c>
      <c r="M3" s="15">
        <v>0.26041666666666669</v>
      </c>
      <c r="N3" s="13" t="s">
        <v>226</v>
      </c>
      <c r="O3" s="4" t="s">
        <v>222</v>
      </c>
      <c r="P3" s="4">
        <v>835</v>
      </c>
      <c r="Q3" s="4">
        <v>275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44363</v>
      </c>
      <c r="B4" s="13" t="s">
        <v>21</v>
      </c>
      <c r="C4" s="13" t="s">
        <v>64</v>
      </c>
      <c r="D4" s="13" t="s">
        <v>22</v>
      </c>
      <c r="E4" s="13" t="s">
        <v>220</v>
      </c>
      <c r="F4" s="13" t="s">
        <v>23</v>
      </c>
      <c r="G4" s="13">
        <v>70000</v>
      </c>
      <c r="H4" s="13" t="s">
        <v>65</v>
      </c>
      <c r="I4" s="13" t="s">
        <v>66</v>
      </c>
      <c r="J4" s="14">
        <v>0.92708333333333337</v>
      </c>
      <c r="K4" s="15">
        <v>0.92569444444444438</v>
      </c>
      <c r="L4" s="14">
        <v>0.49305555555555558</v>
      </c>
      <c r="M4" s="15">
        <v>0.48680555555555555</v>
      </c>
      <c r="N4" s="13" t="s">
        <v>229</v>
      </c>
      <c r="O4" s="13" t="s">
        <v>223</v>
      </c>
      <c r="P4" s="13">
        <v>511</v>
      </c>
      <c r="Q4" s="13">
        <v>281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44363</v>
      </c>
      <c r="B5" s="13" t="s">
        <v>21</v>
      </c>
      <c r="C5" s="13" t="s">
        <v>67</v>
      </c>
      <c r="D5" s="13" t="s">
        <v>22</v>
      </c>
      <c r="E5" s="4" t="s">
        <v>30</v>
      </c>
      <c r="F5" s="13" t="s">
        <v>23</v>
      </c>
      <c r="G5" s="13">
        <v>70000</v>
      </c>
      <c r="H5" s="13" t="s">
        <v>68</v>
      </c>
      <c r="I5" s="13" t="s">
        <v>69</v>
      </c>
      <c r="J5" s="14">
        <v>0.73958333333333337</v>
      </c>
      <c r="K5" s="15">
        <v>0.72638888888888886</v>
      </c>
      <c r="L5" s="14">
        <v>0.51041666666666663</v>
      </c>
      <c r="M5" s="15">
        <v>0.51041666666666663</v>
      </c>
      <c r="N5" s="13" t="s">
        <v>227</v>
      </c>
      <c r="O5" s="13" t="s">
        <v>224</v>
      </c>
      <c r="P5" s="13">
        <v>580</v>
      </c>
      <c r="Q5" s="13">
        <v>162</v>
      </c>
      <c r="R5" s="4">
        <v>0</v>
      </c>
      <c r="S5" s="4">
        <v>0</v>
      </c>
      <c r="T5" s="4">
        <v>0</v>
      </c>
      <c r="U5" s="4">
        <v>0</v>
      </c>
    </row>
    <row r="6" spans="1:21" s="10" customFormat="1" x14ac:dyDescent="0.25">
      <c r="A6" s="3">
        <v>44363</v>
      </c>
      <c r="B6" s="13" t="s">
        <v>21</v>
      </c>
      <c r="C6" s="13" t="s">
        <v>89</v>
      </c>
      <c r="D6" s="13" t="s">
        <v>22</v>
      </c>
      <c r="E6" s="4" t="s">
        <v>30</v>
      </c>
      <c r="F6" s="13" t="s">
        <v>23</v>
      </c>
      <c r="G6" s="13">
        <v>70000</v>
      </c>
      <c r="H6" s="4" t="s">
        <v>91</v>
      </c>
      <c r="I6" s="4" t="s">
        <v>90</v>
      </c>
      <c r="J6" s="5">
        <v>0.94097222222222221</v>
      </c>
      <c r="K6" s="6">
        <v>0.93194444444444446</v>
      </c>
      <c r="L6" s="5">
        <v>0.76041666666666663</v>
      </c>
      <c r="M6" s="6">
        <v>0.7631944444444444</v>
      </c>
      <c r="N6" s="4" t="s">
        <v>230</v>
      </c>
      <c r="O6" s="4" t="s">
        <v>228</v>
      </c>
      <c r="P6" s="4">
        <v>348</v>
      </c>
      <c r="Q6" s="4">
        <v>579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L15" sqref="L15"/>
    </sheetView>
  </sheetViews>
  <sheetFormatPr defaultRowHeight="15" x14ac:dyDescent="0.25"/>
  <cols>
    <col min="1" max="1" width="9.85546875" bestFit="1" customWidth="1"/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0" max="13" width="9.28515625" bestFit="1" customWidth="1"/>
    <col min="14" max="15" width="18.42578125" bestFit="1" customWidth="1"/>
    <col min="16" max="21" width="9.28515625" bestFit="1" customWidth="1"/>
  </cols>
  <sheetData>
    <row r="1" spans="1:2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6"/>
    </row>
    <row r="2" spans="1:22" x14ac:dyDescent="0.25">
      <c r="A2" s="12">
        <v>44364</v>
      </c>
      <c r="B2" s="13" t="s">
        <v>21</v>
      </c>
      <c r="C2" s="13" t="s">
        <v>24</v>
      </c>
      <c r="D2" s="13" t="s">
        <v>22</v>
      </c>
      <c r="E2" s="13" t="s">
        <v>231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0.4375</v>
      </c>
      <c r="K2" s="15">
        <v>0.4284722222222222</v>
      </c>
      <c r="L2" s="14">
        <v>0.27083333333333331</v>
      </c>
      <c r="M2" s="15">
        <v>0.26805555555555555</v>
      </c>
      <c r="N2" s="13" t="s">
        <v>235</v>
      </c>
      <c r="O2" s="13" t="s">
        <v>233</v>
      </c>
      <c r="P2" s="13">
        <v>224</v>
      </c>
      <c r="Q2" s="13">
        <v>222</v>
      </c>
      <c r="R2" s="13">
        <v>0</v>
      </c>
      <c r="S2" s="13">
        <v>0</v>
      </c>
      <c r="T2" s="13">
        <v>0</v>
      </c>
      <c r="U2" s="13">
        <v>0</v>
      </c>
      <c r="V2" s="16"/>
    </row>
    <row r="3" spans="1:22" x14ac:dyDescent="0.25">
      <c r="A3" s="12">
        <f>A2</f>
        <v>44364</v>
      </c>
      <c r="B3" s="13" t="s">
        <v>21</v>
      </c>
      <c r="C3" s="13" t="s">
        <v>79</v>
      </c>
      <c r="D3" s="13" t="s">
        <v>22</v>
      </c>
      <c r="E3" s="13" t="s">
        <v>232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0.58680555555555558</v>
      </c>
      <c r="K3" s="15">
        <v>0.56666666666666665</v>
      </c>
      <c r="L3" s="14">
        <v>0.39583333333333331</v>
      </c>
      <c r="M3" s="15">
        <v>0.39930555555555558</v>
      </c>
      <c r="N3" s="13" t="s">
        <v>236</v>
      </c>
      <c r="O3" s="13" t="s">
        <v>234</v>
      </c>
      <c r="P3" s="13">
        <v>555</v>
      </c>
      <c r="Q3" s="13">
        <v>416</v>
      </c>
      <c r="R3" s="13">
        <v>0</v>
      </c>
      <c r="S3" s="13">
        <v>0</v>
      </c>
      <c r="T3" s="13">
        <v>0</v>
      </c>
      <c r="U3" s="13">
        <v>0</v>
      </c>
      <c r="V3" s="16"/>
    </row>
    <row r="4" spans="1:22" x14ac:dyDescent="0.25">
      <c r="A4" s="12">
        <f>A3</f>
        <v>44364</v>
      </c>
      <c r="B4" s="13" t="s">
        <v>21</v>
      </c>
      <c r="C4" s="13" t="s">
        <v>80</v>
      </c>
      <c r="D4" s="13" t="s">
        <v>22</v>
      </c>
      <c r="E4" s="13" t="str">
        <f>E2</f>
        <v>HA-LYL</v>
      </c>
      <c r="F4" s="13" t="s">
        <v>23</v>
      </c>
      <c r="G4" s="13">
        <v>70000</v>
      </c>
      <c r="H4" s="13" t="s">
        <v>42</v>
      </c>
      <c r="I4" s="13" t="s">
        <v>43</v>
      </c>
      <c r="J4" s="14">
        <v>0.94097222222222221</v>
      </c>
      <c r="K4" s="15">
        <v>0.93402777777777779</v>
      </c>
      <c r="L4" s="14">
        <v>0.79513888888888884</v>
      </c>
      <c r="M4" s="15">
        <v>0.79375000000000007</v>
      </c>
      <c r="N4" s="13" t="s">
        <v>237</v>
      </c>
      <c r="O4" s="13" t="s">
        <v>238</v>
      </c>
      <c r="P4" s="13">
        <v>650</v>
      </c>
      <c r="Q4" s="13">
        <v>283</v>
      </c>
      <c r="R4" s="13">
        <v>0</v>
      </c>
      <c r="S4" s="13">
        <v>0</v>
      </c>
      <c r="T4" s="13">
        <v>0</v>
      </c>
      <c r="U4" s="13">
        <v>0</v>
      </c>
      <c r="V4" s="16"/>
    </row>
    <row r="5" spans="1:22" s="10" customFormat="1" x14ac:dyDescent="0.25">
      <c r="A5" s="3"/>
      <c r="B5" s="4"/>
      <c r="C5" s="4"/>
      <c r="D5" s="4"/>
      <c r="E5" s="4"/>
      <c r="F5" s="4"/>
      <c r="G5" s="4"/>
      <c r="H5" s="4"/>
      <c r="I5" s="4"/>
      <c r="J5" s="5"/>
      <c r="K5" s="6"/>
      <c r="L5" s="19"/>
      <c r="M5" s="4"/>
      <c r="N5" s="4"/>
      <c r="O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E35" sqref="E35"/>
    </sheetView>
  </sheetViews>
  <sheetFormatPr defaultRowHeight="12.75" x14ac:dyDescent="0.2"/>
  <cols>
    <col min="1" max="1" width="10.140625" style="4" bestFit="1" customWidth="1"/>
    <col min="2" max="2" width="19.28515625" style="4" bestFit="1" customWidth="1"/>
    <col min="3" max="3" width="17.140625" style="4" customWidth="1"/>
    <col min="4" max="4" width="9.140625" style="4"/>
    <col min="5" max="5" width="14.85546875" style="4" customWidth="1"/>
    <col min="6" max="6" width="15.42578125" style="4" customWidth="1"/>
    <col min="7" max="7" width="9.140625" style="4"/>
    <col min="8" max="8" width="13.42578125" style="4" customWidth="1"/>
    <col min="9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2">
        <v>44365</v>
      </c>
      <c r="B2" s="13" t="s">
        <v>21</v>
      </c>
      <c r="C2" s="13" t="s">
        <v>61</v>
      </c>
      <c r="D2" s="13" t="s">
        <v>22</v>
      </c>
      <c r="E2" s="13" t="s">
        <v>180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0.46319444444444446</v>
      </c>
      <c r="L2" s="14">
        <v>0.25694444444444448</v>
      </c>
      <c r="M2" s="15">
        <v>0.25</v>
      </c>
      <c r="N2" s="13" t="s">
        <v>242</v>
      </c>
      <c r="O2" s="13" t="s">
        <v>240</v>
      </c>
      <c r="P2" s="13">
        <v>718</v>
      </c>
      <c r="Q2" s="13">
        <v>212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12">
        <v>44365</v>
      </c>
      <c r="B3" s="13" t="s">
        <v>21</v>
      </c>
      <c r="C3" s="13" t="s">
        <v>64</v>
      </c>
      <c r="D3" s="13" t="s">
        <v>22</v>
      </c>
      <c r="E3" s="13" t="s">
        <v>239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0.90694444444444444</v>
      </c>
      <c r="L3" s="14">
        <v>0.46875</v>
      </c>
      <c r="M3" s="15">
        <v>0.47152777777777777</v>
      </c>
      <c r="N3" s="13" t="s">
        <v>255</v>
      </c>
      <c r="O3" s="13" t="s">
        <v>244</v>
      </c>
      <c r="P3" s="13">
        <v>989</v>
      </c>
      <c r="Q3" s="13">
        <v>615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12">
        <v>44365</v>
      </c>
      <c r="B4" s="13" t="s">
        <v>21</v>
      </c>
      <c r="C4" s="13" t="s">
        <v>67</v>
      </c>
      <c r="D4" s="13" t="s">
        <v>22</v>
      </c>
      <c r="E4" s="13" t="s">
        <v>180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0.72916666666666663</v>
      </c>
      <c r="L4" s="14">
        <v>0.48958333333333331</v>
      </c>
      <c r="M4" s="15">
        <v>0.49027777777777781</v>
      </c>
      <c r="N4" s="13" t="s">
        <v>254</v>
      </c>
      <c r="O4" s="13" t="s">
        <v>245</v>
      </c>
      <c r="P4" s="13">
        <v>1100</v>
      </c>
      <c r="Q4" s="13">
        <v>184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12">
        <v>44365</v>
      </c>
      <c r="B5" s="13" t="s">
        <v>21</v>
      </c>
      <c r="C5" s="13" t="s">
        <v>89</v>
      </c>
      <c r="D5" s="13" t="s">
        <v>22</v>
      </c>
      <c r="E5" s="13" t="s">
        <v>180</v>
      </c>
      <c r="F5" s="13" t="s">
        <v>23</v>
      </c>
      <c r="G5" s="13">
        <v>70000</v>
      </c>
      <c r="H5" s="13" t="s">
        <v>91</v>
      </c>
      <c r="I5" s="13" t="s">
        <v>90</v>
      </c>
      <c r="J5" s="5">
        <v>0.92013888888888884</v>
      </c>
      <c r="K5" s="6">
        <v>0.92152777777777783</v>
      </c>
      <c r="L5" s="5">
        <v>0.73958333333333337</v>
      </c>
      <c r="M5" s="6">
        <v>0.75624999999999998</v>
      </c>
      <c r="N5" s="4" t="s">
        <v>256</v>
      </c>
      <c r="O5" s="4" t="s">
        <v>216</v>
      </c>
      <c r="P5" s="4">
        <v>705</v>
      </c>
      <c r="Q5" s="4">
        <v>545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12">
        <v>44365</v>
      </c>
      <c r="B6" s="13" t="s">
        <v>171</v>
      </c>
      <c r="C6" s="13" t="s">
        <v>172</v>
      </c>
      <c r="D6" s="13" t="s">
        <v>22</v>
      </c>
      <c r="E6" s="4" t="s">
        <v>212</v>
      </c>
      <c r="F6" s="13" t="s">
        <v>173</v>
      </c>
      <c r="G6" s="13">
        <v>77000</v>
      </c>
      <c r="H6" s="13" t="s">
        <v>140</v>
      </c>
      <c r="I6" s="13" t="s">
        <v>141</v>
      </c>
      <c r="J6" s="14">
        <v>0.3263888888888889</v>
      </c>
      <c r="K6" s="15">
        <v>0.31180555555555556</v>
      </c>
      <c r="L6" s="14">
        <v>0.37152777777777773</v>
      </c>
      <c r="M6" s="15">
        <v>0.39861111111111108</v>
      </c>
      <c r="N6" s="13" t="s">
        <v>241</v>
      </c>
      <c r="O6" s="13" t="s">
        <v>243</v>
      </c>
      <c r="P6" s="4">
        <v>2162</v>
      </c>
      <c r="Q6" s="13">
        <v>2003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>
        <v>44365</v>
      </c>
      <c r="B7" s="13" t="s">
        <v>246</v>
      </c>
      <c r="C7" s="4" t="s">
        <v>247</v>
      </c>
      <c r="D7" s="4" t="s">
        <v>248</v>
      </c>
      <c r="E7" s="4" t="s">
        <v>249</v>
      </c>
      <c r="F7" s="4" t="s">
        <v>250</v>
      </c>
      <c r="G7" s="4">
        <v>9700</v>
      </c>
      <c r="H7" s="4" t="s">
        <v>251</v>
      </c>
      <c r="I7" s="4" t="s">
        <v>252</v>
      </c>
      <c r="J7" s="5">
        <v>0.54861111111111105</v>
      </c>
      <c r="K7" s="6">
        <v>0.53194444444444444</v>
      </c>
      <c r="L7" s="5">
        <v>0.59027777777777779</v>
      </c>
      <c r="M7" s="6">
        <v>0.56597222222222221</v>
      </c>
      <c r="N7" s="4">
        <v>0</v>
      </c>
      <c r="O7" s="4" t="s">
        <v>253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J25" sqref="J25"/>
    </sheetView>
  </sheetViews>
  <sheetFormatPr defaultRowHeight="15" x14ac:dyDescent="0.25"/>
  <cols>
    <col min="1" max="1" width="10.140625" bestFit="1" customWidth="1"/>
    <col min="3" max="3" width="14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44366</v>
      </c>
      <c r="B2" s="13" t="s">
        <v>21</v>
      </c>
      <c r="C2" s="13" t="s">
        <v>24</v>
      </c>
      <c r="D2" s="13" t="s">
        <v>22</v>
      </c>
      <c r="E2" s="13" t="s">
        <v>180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0.64930555555555558</v>
      </c>
      <c r="K2" s="15">
        <v>0.64236111111111105</v>
      </c>
      <c r="L2" s="14">
        <v>0.27777777777777779</v>
      </c>
      <c r="M2" s="15">
        <v>0.28125</v>
      </c>
      <c r="N2" s="13" t="s">
        <v>267</v>
      </c>
      <c r="O2" s="13" t="s">
        <v>261</v>
      </c>
      <c r="P2" s="13">
        <v>842</v>
      </c>
      <c r="Q2" s="13">
        <v>462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44366</v>
      </c>
      <c r="B3" s="13" t="s">
        <v>21</v>
      </c>
      <c r="C3" s="13" t="s">
        <v>41</v>
      </c>
      <c r="D3" s="13" t="s">
        <v>22</v>
      </c>
      <c r="E3" s="13" t="s">
        <v>231</v>
      </c>
      <c r="F3" s="13" t="s">
        <v>23</v>
      </c>
      <c r="G3" s="13">
        <v>70000</v>
      </c>
      <c r="H3" s="13" t="s">
        <v>42</v>
      </c>
      <c r="I3" s="13" t="s">
        <v>43</v>
      </c>
      <c r="J3" s="14">
        <v>0.47916666666666669</v>
      </c>
      <c r="K3" s="15">
        <v>0.47986111111111113</v>
      </c>
      <c r="L3" s="14">
        <v>0.33680555555555558</v>
      </c>
      <c r="M3" s="15">
        <v>0.34375</v>
      </c>
      <c r="N3" s="13" t="s">
        <v>265</v>
      </c>
      <c r="O3" s="13" t="s">
        <v>262</v>
      </c>
      <c r="P3" s="13">
        <v>979</v>
      </c>
      <c r="Q3" s="13">
        <v>713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2">
        <v>44366</v>
      </c>
      <c r="B4" s="13" t="s">
        <v>21</v>
      </c>
      <c r="C4" s="13" t="s">
        <v>269</v>
      </c>
      <c r="D4" s="13" t="s">
        <v>22</v>
      </c>
      <c r="E4" s="13" t="s">
        <v>257</v>
      </c>
      <c r="F4" s="13" t="s">
        <v>23</v>
      </c>
      <c r="G4" s="13">
        <v>70000</v>
      </c>
      <c r="H4" s="13" t="s">
        <v>32</v>
      </c>
      <c r="I4" s="13" t="s">
        <v>33</v>
      </c>
      <c r="J4" s="14">
        <v>0.51041666666666663</v>
      </c>
      <c r="K4" s="15">
        <v>0.4993055555555555</v>
      </c>
      <c r="L4" s="14">
        <v>0.53125</v>
      </c>
      <c r="M4" s="15">
        <v>0.53541666666666665</v>
      </c>
      <c r="N4" s="13" t="s">
        <v>266</v>
      </c>
      <c r="O4" s="13" t="s">
        <v>263</v>
      </c>
      <c r="P4" s="13">
        <v>1080</v>
      </c>
      <c r="Q4" s="13">
        <v>769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2">
        <v>44366</v>
      </c>
      <c r="B5" s="13" t="s">
        <v>21</v>
      </c>
      <c r="C5" s="13" t="s">
        <v>268</v>
      </c>
      <c r="D5" s="13" t="s">
        <v>22</v>
      </c>
      <c r="E5" s="13" t="s">
        <v>260</v>
      </c>
      <c r="F5" s="13" t="s">
        <v>23</v>
      </c>
      <c r="G5" s="13">
        <v>70000</v>
      </c>
      <c r="H5" s="13" t="s">
        <v>28</v>
      </c>
      <c r="I5" s="13" t="s">
        <v>29</v>
      </c>
      <c r="J5" s="14">
        <v>0.71527777777777779</v>
      </c>
      <c r="K5" s="15">
        <v>0.7090277777777777</v>
      </c>
      <c r="L5" s="14">
        <v>0.73611111111111116</v>
      </c>
      <c r="M5" s="15">
        <v>0.7402777777777777</v>
      </c>
      <c r="N5" s="13" t="s">
        <v>270</v>
      </c>
      <c r="O5" s="13" t="s">
        <v>272</v>
      </c>
      <c r="P5" s="13">
        <v>1112</v>
      </c>
      <c r="Q5" s="13">
        <v>415</v>
      </c>
      <c r="R5" s="13">
        <v>0</v>
      </c>
      <c r="S5" s="13">
        <v>0</v>
      </c>
      <c r="T5" s="13">
        <v>0</v>
      </c>
      <c r="U5" s="13">
        <v>0</v>
      </c>
    </row>
    <row r="6" spans="1:21" x14ac:dyDescent="0.25">
      <c r="A6" s="12">
        <v>44366</v>
      </c>
      <c r="B6" s="13" t="s">
        <v>21</v>
      </c>
      <c r="C6" s="13" t="s">
        <v>105</v>
      </c>
      <c r="D6" s="13" t="s">
        <v>22</v>
      </c>
      <c r="E6" s="13" t="s">
        <v>231</v>
      </c>
      <c r="F6" s="13" t="s">
        <v>23</v>
      </c>
      <c r="G6" s="13">
        <v>70000</v>
      </c>
      <c r="H6" s="13" t="s">
        <v>258</v>
      </c>
      <c r="I6" s="13" t="s">
        <v>259</v>
      </c>
      <c r="J6" s="14">
        <v>0.90625</v>
      </c>
      <c r="K6" s="15">
        <v>0.89374999999999993</v>
      </c>
      <c r="L6" s="14">
        <v>0.53125</v>
      </c>
      <c r="M6" s="15">
        <v>0.52916666666666667</v>
      </c>
      <c r="N6" s="13" t="s">
        <v>274</v>
      </c>
      <c r="O6" s="13" t="s">
        <v>264</v>
      </c>
      <c r="P6" s="13">
        <v>157</v>
      </c>
      <c r="Q6" s="13">
        <v>146</v>
      </c>
      <c r="R6" s="13">
        <v>0</v>
      </c>
      <c r="S6" s="13">
        <v>0</v>
      </c>
      <c r="T6" s="13">
        <v>0</v>
      </c>
      <c r="U6" s="13">
        <v>0</v>
      </c>
    </row>
    <row r="7" spans="1:21" x14ac:dyDescent="0.25">
      <c r="A7" s="12">
        <v>44366</v>
      </c>
      <c r="B7" s="13" t="s">
        <v>21</v>
      </c>
      <c r="C7" s="13" t="s">
        <v>120</v>
      </c>
      <c r="D7" s="13" t="s">
        <v>22</v>
      </c>
      <c r="E7" s="13" t="s">
        <v>30</v>
      </c>
      <c r="F7" s="13" t="s">
        <v>23</v>
      </c>
      <c r="G7" s="13">
        <v>70000</v>
      </c>
      <c r="H7" s="13" t="s">
        <v>121</v>
      </c>
      <c r="I7" s="13" t="s">
        <v>122</v>
      </c>
      <c r="J7" s="14">
        <v>0.90972222222222221</v>
      </c>
      <c r="K7" s="15">
        <v>0.90347222222222223</v>
      </c>
      <c r="L7" s="14">
        <v>0.69444444444444453</v>
      </c>
      <c r="M7" s="15">
        <v>0.69236111111111109</v>
      </c>
      <c r="N7" s="13" t="s">
        <v>273</v>
      </c>
      <c r="O7" s="13" t="s">
        <v>271</v>
      </c>
      <c r="P7" s="13">
        <v>1099</v>
      </c>
      <c r="Q7" s="13">
        <v>264</v>
      </c>
      <c r="R7" s="13">
        <v>0</v>
      </c>
      <c r="S7" s="13">
        <v>0</v>
      </c>
      <c r="T7" s="13">
        <v>0</v>
      </c>
      <c r="U7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4" bestFit="1" customWidth="1"/>
    <col min="5" max="5" width="13.42578125" customWidth="1"/>
    <col min="6" max="6" width="14.71093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44367</v>
      </c>
      <c r="B2" s="13" t="s">
        <v>21</v>
      </c>
      <c r="C2" s="13" t="s">
        <v>275</v>
      </c>
      <c r="D2" s="13" t="s">
        <v>22</v>
      </c>
      <c r="E2" s="4" t="s">
        <v>231</v>
      </c>
      <c r="F2" s="4" t="s">
        <v>23</v>
      </c>
      <c r="G2" s="4">
        <v>70000</v>
      </c>
      <c r="H2" s="13" t="s">
        <v>276</v>
      </c>
      <c r="I2" s="13" t="s">
        <v>277</v>
      </c>
      <c r="J2" s="5">
        <v>0.47222222222222227</v>
      </c>
      <c r="K2" s="6">
        <v>0.49444444444444446</v>
      </c>
      <c r="L2" s="5">
        <v>0.25694444444444448</v>
      </c>
      <c r="M2" s="6">
        <v>0.24861111111111112</v>
      </c>
      <c r="N2" s="4" t="s">
        <v>280</v>
      </c>
      <c r="O2" s="4" t="s">
        <v>279</v>
      </c>
      <c r="P2" s="4">
        <v>829</v>
      </c>
      <c r="Q2" s="4">
        <v>41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44367</v>
      </c>
      <c r="B3" s="13" t="s">
        <v>21</v>
      </c>
      <c r="C3" s="13" t="s">
        <v>79</v>
      </c>
      <c r="D3" s="13" t="s">
        <v>22</v>
      </c>
      <c r="E3" s="13" t="s">
        <v>278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0.90625</v>
      </c>
      <c r="K3" s="15">
        <v>0.89513888888888893</v>
      </c>
      <c r="L3" s="14">
        <v>0.4826388888888889</v>
      </c>
      <c r="M3" s="15">
        <v>0.49791666666666662</v>
      </c>
      <c r="N3" s="13" t="s">
        <v>282</v>
      </c>
      <c r="O3" s="13" t="s">
        <v>281</v>
      </c>
      <c r="P3" s="13">
        <v>1146</v>
      </c>
      <c r="Q3" s="13">
        <v>606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44367</v>
      </c>
      <c r="B4" s="13" t="s">
        <v>21</v>
      </c>
      <c r="C4" s="13" t="s">
        <v>70</v>
      </c>
      <c r="D4" s="13" t="s">
        <v>22</v>
      </c>
      <c r="E4" s="13" t="s">
        <v>231</v>
      </c>
      <c r="F4" s="13" t="s">
        <v>23</v>
      </c>
      <c r="G4" s="13">
        <v>70000</v>
      </c>
      <c r="H4" s="13" t="s">
        <v>71</v>
      </c>
      <c r="I4" s="13" t="s">
        <v>72</v>
      </c>
      <c r="J4" s="14">
        <v>0.92361111111111116</v>
      </c>
      <c r="K4" s="15">
        <v>0.93333333333333324</v>
      </c>
      <c r="L4" s="14">
        <v>0.50347222222222221</v>
      </c>
      <c r="M4" s="15">
        <v>0.52777777777777779</v>
      </c>
      <c r="N4" s="13" t="s">
        <v>192</v>
      </c>
      <c r="O4" s="13" t="s">
        <v>190</v>
      </c>
      <c r="P4" s="13">
        <v>1060</v>
      </c>
      <c r="Q4" s="13">
        <v>411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13"/>
      <c r="C5" s="13"/>
      <c r="D5" s="13"/>
      <c r="E5" s="4"/>
      <c r="F5" s="4"/>
      <c r="G5" s="4"/>
      <c r="H5" s="13"/>
      <c r="I5" s="13"/>
      <c r="J5" s="5"/>
      <c r="K5" s="6"/>
      <c r="L5" s="5"/>
      <c r="M5" s="6"/>
      <c r="N5" s="4"/>
      <c r="O5" s="4"/>
      <c r="P5" s="4"/>
      <c r="Q5" s="4"/>
      <c r="R5" s="4"/>
      <c r="S5" s="4"/>
      <c r="T5" s="4"/>
      <c r="U5" s="4"/>
    </row>
    <row r="6" spans="1:21" s="10" customFormat="1" x14ac:dyDescent="0.25"/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  <row r="8" spans="1:21" x14ac:dyDescent="0.25">
      <c r="A8" s="3"/>
      <c r="B8" s="4"/>
      <c r="C8" s="4"/>
      <c r="D8" s="4"/>
      <c r="E8" s="4"/>
      <c r="F8" s="4"/>
      <c r="G8" s="4"/>
      <c r="H8" s="4"/>
      <c r="I8" s="4"/>
      <c r="J8" s="5"/>
      <c r="K8" s="6"/>
      <c r="L8" s="5"/>
      <c r="M8" s="6"/>
      <c r="N8" s="4"/>
      <c r="O8" s="4"/>
      <c r="P8" s="4"/>
      <c r="Q8" s="4"/>
      <c r="R8" s="4"/>
      <c r="S8" s="4"/>
      <c r="T8" s="4"/>
      <c r="U8" s="4"/>
    </row>
    <row r="9" spans="1:21" x14ac:dyDescent="0.25">
      <c r="A9" s="3"/>
      <c r="B9" s="4"/>
      <c r="C9" s="4"/>
      <c r="D9" s="4"/>
      <c r="E9" s="4"/>
      <c r="F9" s="4"/>
      <c r="G9" s="4"/>
      <c r="H9" s="4"/>
      <c r="I9" s="4"/>
      <c r="J9" s="5"/>
      <c r="K9" s="6"/>
      <c r="L9" s="5"/>
      <c r="M9" s="6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N12" sqref="N12"/>
    </sheetView>
  </sheetViews>
  <sheetFormatPr defaultRowHeight="12.75" x14ac:dyDescent="0.2"/>
  <cols>
    <col min="1" max="1" width="10.140625" style="4" bestFit="1" customWidth="1"/>
    <col min="2" max="2" width="12.85546875" style="4" bestFit="1" customWidth="1"/>
    <col min="3" max="3" width="14.5703125" style="4" customWidth="1"/>
    <col min="4" max="4" width="6.140625" style="4" customWidth="1"/>
    <col min="5" max="5" width="11.7109375" style="4" bestFit="1" customWidth="1"/>
    <col min="6" max="6" width="14.5703125" style="4" customWidth="1"/>
    <col min="7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2">
        <v>44368</v>
      </c>
      <c r="B2" s="13" t="s">
        <v>21</v>
      </c>
      <c r="C2" s="13" t="s">
        <v>61</v>
      </c>
      <c r="D2" s="13" t="s">
        <v>22</v>
      </c>
      <c r="E2" s="13" t="s">
        <v>283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0.4465277777777778</v>
      </c>
      <c r="L2" s="14">
        <v>0.25694444444444448</v>
      </c>
      <c r="M2" s="15">
        <f>L2</f>
        <v>0.25694444444444448</v>
      </c>
      <c r="N2" s="13" t="s">
        <v>285</v>
      </c>
      <c r="O2" s="13" t="s">
        <v>284</v>
      </c>
      <c r="P2" s="13">
        <v>1239</v>
      </c>
      <c r="Q2" s="13">
        <v>337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12">
        <v>44368</v>
      </c>
      <c r="B3" s="13" t="s">
        <v>21</v>
      </c>
      <c r="C3" s="13" t="s">
        <v>64</v>
      </c>
      <c r="D3" s="13" t="s">
        <v>22</v>
      </c>
      <c r="E3" s="13" t="s">
        <v>231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0.92152777777777783</v>
      </c>
      <c r="L3" s="14">
        <v>0.46875</v>
      </c>
      <c r="M3" s="15">
        <v>0.47847222222222219</v>
      </c>
      <c r="N3" s="13" t="s">
        <v>292</v>
      </c>
      <c r="O3" s="13" t="s">
        <v>290</v>
      </c>
      <c r="P3" s="13">
        <v>930</v>
      </c>
      <c r="Q3" s="13">
        <v>393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12">
        <v>44368</v>
      </c>
      <c r="B4" s="13" t="s">
        <v>21</v>
      </c>
      <c r="C4" s="13" t="s">
        <v>67</v>
      </c>
      <c r="D4" s="13" t="s">
        <v>22</v>
      </c>
      <c r="E4" s="4" t="str">
        <f>E2</f>
        <v>HA-LYO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0.72013888888888899</v>
      </c>
      <c r="L4" s="14">
        <v>0.48958333333333331</v>
      </c>
      <c r="M4" s="15">
        <v>0.49861111111111112</v>
      </c>
      <c r="N4" s="13" t="s">
        <v>293</v>
      </c>
      <c r="O4" s="13" t="s">
        <v>291</v>
      </c>
      <c r="P4" s="13">
        <v>1194</v>
      </c>
      <c r="Q4" s="13">
        <v>232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12">
        <v>44368</v>
      </c>
      <c r="B5" s="13" t="s">
        <v>21</v>
      </c>
      <c r="C5" s="13" t="s">
        <v>89</v>
      </c>
      <c r="D5" s="13" t="s">
        <v>22</v>
      </c>
      <c r="E5" s="13" t="str">
        <f>E4</f>
        <v>HA-LYO</v>
      </c>
      <c r="F5" s="13" t="s">
        <v>23</v>
      </c>
      <c r="G5" s="13">
        <v>70000</v>
      </c>
      <c r="H5" s="13" t="s">
        <v>91</v>
      </c>
      <c r="I5" s="13" t="s">
        <v>90</v>
      </c>
      <c r="J5" s="5">
        <v>0.92013888888888884</v>
      </c>
      <c r="K5" s="6">
        <v>0.92708333333333337</v>
      </c>
      <c r="L5" s="5">
        <v>0.73958333333333337</v>
      </c>
      <c r="M5" s="6">
        <v>0.73958333333333337</v>
      </c>
      <c r="N5" s="4" t="s">
        <v>294</v>
      </c>
      <c r="O5" s="4" t="s">
        <v>295</v>
      </c>
      <c r="P5" s="4">
        <v>780</v>
      </c>
      <c r="Q5" s="4">
        <v>493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3">
        <v>44368</v>
      </c>
      <c r="B6" s="13" t="s">
        <v>286</v>
      </c>
      <c r="C6" s="4" t="s">
        <v>287</v>
      </c>
      <c r="D6" s="4" t="s">
        <v>59</v>
      </c>
      <c r="E6" s="4" t="s">
        <v>288</v>
      </c>
      <c r="F6" s="4" t="s">
        <v>289</v>
      </c>
      <c r="G6" s="4">
        <v>5670</v>
      </c>
      <c r="H6" s="4" t="str">
        <f>E6</f>
        <v>OE-FLH</v>
      </c>
      <c r="I6" s="4" t="str">
        <f>H6</f>
        <v>OE-FLH</v>
      </c>
      <c r="J6" s="5">
        <v>0.3923611111111111</v>
      </c>
      <c r="K6" s="6">
        <v>0.3979166666666667</v>
      </c>
      <c r="L6" s="5">
        <v>0.70833333333333337</v>
      </c>
      <c r="M6" s="6">
        <v>0.69791666666666663</v>
      </c>
      <c r="N6" s="4">
        <v>7</v>
      </c>
      <c r="O6" s="4">
        <v>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B7" sqref="B7:U7"/>
    </sheetView>
  </sheetViews>
  <sheetFormatPr defaultRowHeight="15" customHeight="1" x14ac:dyDescent="0.2"/>
  <cols>
    <col min="1" max="2" width="10.140625" style="4" bestFit="1" customWidth="1"/>
    <col min="3" max="3" width="13.28515625" style="4" bestFit="1" customWidth="1"/>
    <col min="4" max="5" width="9.140625" style="4"/>
    <col min="6" max="6" width="17.28515625" style="4" bestFit="1" customWidth="1"/>
    <col min="7" max="16384" width="9.140625" style="4"/>
  </cols>
  <sheetData>
    <row r="1" spans="1:2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2">
      <c r="A2" s="12">
        <v>44369</v>
      </c>
      <c r="B2" s="13" t="s">
        <v>21</v>
      </c>
      <c r="C2" s="13" t="s">
        <v>31</v>
      </c>
      <c r="D2" s="13" t="s">
        <v>22</v>
      </c>
      <c r="E2" s="13" t="s">
        <v>231</v>
      </c>
      <c r="F2" s="13" t="s">
        <v>23</v>
      </c>
      <c r="G2" s="13">
        <v>70000</v>
      </c>
      <c r="H2" s="13" t="s">
        <v>32</v>
      </c>
      <c r="I2" s="13" t="s">
        <v>33</v>
      </c>
      <c r="J2" s="14">
        <v>0.57291666666666663</v>
      </c>
      <c r="K2" s="15">
        <v>0.57291666666666663</v>
      </c>
      <c r="L2" s="14">
        <v>0.39583333333333331</v>
      </c>
      <c r="M2" s="15">
        <v>0.40972222222222227</v>
      </c>
      <c r="N2" s="13" t="s">
        <v>300</v>
      </c>
      <c r="O2" s="13" t="s">
        <v>191</v>
      </c>
      <c r="P2" s="13">
        <v>1282</v>
      </c>
      <c r="Q2" s="13">
        <v>554</v>
      </c>
      <c r="R2" s="4">
        <v>0</v>
      </c>
      <c r="S2" s="4">
        <v>0</v>
      </c>
      <c r="T2" s="4">
        <v>0</v>
      </c>
      <c r="U2" s="4">
        <v>0</v>
      </c>
    </row>
    <row r="3" spans="1:21" ht="15" customHeight="1" x14ac:dyDescent="0.2">
      <c r="A3" s="12">
        <v>44369</v>
      </c>
      <c r="B3" s="13" t="s">
        <v>21</v>
      </c>
      <c r="C3" s="13" t="s">
        <v>24</v>
      </c>
      <c r="D3" s="13" t="s">
        <v>22</v>
      </c>
      <c r="E3" s="4" t="s">
        <v>283</v>
      </c>
      <c r="F3" s="13" t="s">
        <v>23</v>
      </c>
      <c r="G3" s="13">
        <v>70000</v>
      </c>
      <c r="H3" s="13" t="s">
        <v>25</v>
      </c>
      <c r="I3" s="13" t="s">
        <v>26</v>
      </c>
      <c r="J3" s="14">
        <v>0.9375</v>
      </c>
      <c r="K3" s="15">
        <v>0.92152777777777783</v>
      </c>
      <c r="L3" s="14">
        <v>0.53819444444444442</v>
      </c>
      <c r="M3" s="15">
        <v>0.5395833333333333</v>
      </c>
      <c r="N3" s="13" t="s">
        <v>314</v>
      </c>
      <c r="O3" s="13" t="s">
        <v>299</v>
      </c>
      <c r="P3" s="13">
        <v>386</v>
      </c>
      <c r="Q3" s="13">
        <v>271</v>
      </c>
      <c r="R3" s="4">
        <v>0</v>
      </c>
      <c r="S3" s="4">
        <v>0</v>
      </c>
      <c r="T3" s="4">
        <v>0</v>
      </c>
      <c r="U3" s="4">
        <v>0</v>
      </c>
    </row>
    <row r="4" spans="1:21" ht="15" customHeight="1" x14ac:dyDescent="0.2">
      <c r="A4" s="12">
        <v>44369</v>
      </c>
      <c r="B4" s="13" t="s">
        <v>21</v>
      </c>
      <c r="C4" s="13" t="s">
        <v>41</v>
      </c>
      <c r="D4" s="13" t="s">
        <v>22</v>
      </c>
      <c r="E4" s="13" t="s">
        <v>231</v>
      </c>
      <c r="F4" s="13" t="s">
        <v>23</v>
      </c>
      <c r="G4" s="13">
        <v>70000</v>
      </c>
      <c r="H4" s="13" t="s">
        <v>42</v>
      </c>
      <c r="I4" s="13" t="s">
        <v>43</v>
      </c>
      <c r="J4" s="14">
        <v>0.95486111111111116</v>
      </c>
      <c r="K4" s="15">
        <v>0.95972222222222225</v>
      </c>
      <c r="L4" s="14">
        <v>0.60069444444444442</v>
      </c>
      <c r="M4" s="15">
        <v>0.60763888888888895</v>
      </c>
      <c r="N4" s="13" t="s">
        <v>315</v>
      </c>
      <c r="O4" s="13" t="s">
        <v>301</v>
      </c>
      <c r="P4" s="13">
        <v>476</v>
      </c>
      <c r="Q4" s="13">
        <v>314</v>
      </c>
      <c r="R4" s="4">
        <v>0</v>
      </c>
      <c r="S4" s="4">
        <v>0</v>
      </c>
      <c r="T4" s="4">
        <v>0</v>
      </c>
      <c r="U4" s="4">
        <v>0</v>
      </c>
    </row>
    <row r="5" spans="1:21" ht="15" customHeight="1" x14ac:dyDescent="0.2">
      <c r="A5" s="12">
        <v>44369</v>
      </c>
      <c r="B5" s="13" t="s">
        <v>171</v>
      </c>
      <c r="C5" s="13" t="s">
        <v>172</v>
      </c>
      <c r="D5" s="13" t="s">
        <v>22</v>
      </c>
      <c r="E5" s="13" t="s">
        <v>298</v>
      </c>
      <c r="F5" s="13" t="s">
        <v>173</v>
      </c>
      <c r="G5" s="13">
        <v>77000</v>
      </c>
      <c r="H5" s="13" t="s">
        <v>140</v>
      </c>
      <c r="I5" s="13" t="s">
        <v>141</v>
      </c>
      <c r="J5" s="5">
        <v>0.3298611111111111</v>
      </c>
      <c r="K5" s="6">
        <v>0.32083333333333336</v>
      </c>
      <c r="L5" s="5">
        <v>0.37152777777777773</v>
      </c>
      <c r="M5" s="6">
        <v>0.40069444444444446</v>
      </c>
      <c r="N5" s="4" t="s">
        <v>296</v>
      </c>
      <c r="O5" s="4" t="s">
        <v>297</v>
      </c>
      <c r="P5" s="4">
        <v>2653</v>
      </c>
      <c r="Q5" s="4">
        <v>2176</v>
      </c>
      <c r="R5" s="4">
        <v>0</v>
      </c>
      <c r="S5" s="4">
        <v>0</v>
      </c>
      <c r="T5" s="4">
        <v>0</v>
      </c>
      <c r="U5" s="4">
        <v>0</v>
      </c>
    </row>
    <row r="6" spans="1:21" ht="15" customHeight="1" x14ac:dyDescent="0.2">
      <c r="A6" s="3">
        <v>44369</v>
      </c>
      <c r="B6" s="4" t="s">
        <v>302</v>
      </c>
      <c r="C6" s="4" t="s">
        <v>303</v>
      </c>
      <c r="D6" s="4" t="s">
        <v>304</v>
      </c>
      <c r="E6" s="4" t="s">
        <v>305</v>
      </c>
      <c r="F6" s="4" t="s">
        <v>306</v>
      </c>
      <c r="G6" s="4">
        <v>89000</v>
      </c>
      <c r="H6" s="4" t="s">
        <v>307</v>
      </c>
      <c r="I6" s="4" t="s">
        <v>56</v>
      </c>
      <c r="J6" s="5">
        <v>0.69444444444444453</v>
      </c>
      <c r="K6" s="6">
        <v>0.68125000000000002</v>
      </c>
      <c r="L6" s="19" t="s">
        <v>168</v>
      </c>
      <c r="M6" s="4" t="s">
        <v>56</v>
      </c>
      <c r="N6" s="4">
        <v>0</v>
      </c>
      <c r="O6" s="4" t="s">
        <v>56</v>
      </c>
      <c r="P6" s="4">
        <v>0</v>
      </c>
      <c r="Q6" s="4" t="s">
        <v>56</v>
      </c>
      <c r="R6" s="4">
        <v>0</v>
      </c>
      <c r="S6" s="4" t="s">
        <v>56</v>
      </c>
      <c r="T6" s="4">
        <v>0</v>
      </c>
      <c r="U6" s="4" t="s">
        <v>56</v>
      </c>
    </row>
    <row r="7" spans="1:21" ht="15" customHeight="1" x14ac:dyDescent="0.2">
      <c r="A7" s="3">
        <v>44369</v>
      </c>
      <c r="B7" s="4" t="s">
        <v>308</v>
      </c>
      <c r="C7" s="4" t="s">
        <v>309</v>
      </c>
      <c r="D7" s="4" t="s">
        <v>310</v>
      </c>
      <c r="E7" s="4" t="s">
        <v>311</v>
      </c>
      <c r="F7" s="4" t="s">
        <v>312</v>
      </c>
      <c r="G7" s="4">
        <v>8340</v>
      </c>
      <c r="H7" s="4" t="s">
        <v>313</v>
      </c>
      <c r="I7" s="4" t="s">
        <v>56</v>
      </c>
      <c r="J7" s="5">
        <v>0.70833333333333337</v>
      </c>
      <c r="K7" s="6">
        <v>0.7583333333333333</v>
      </c>
      <c r="L7" s="19" t="s">
        <v>168</v>
      </c>
      <c r="M7" s="4" t="s">
        <v>56</v>
      </c>
      <c r="N7" s="4">
        <v>4</v>
      </c>
      <c r="O7" s="4" t="s">
        <v>56</v>
      </c>
      <c r="P7" s="4">
        <v>0</v>
      </c>
      <c r="Q7" s="4" t="str">
        <f>Q6</f>
        <v>-</v>
      </c>
      <c r="R7" s="4">
        <v>0</v>
      </c>
      <c r="S7" s="4" t="str">
        <f>S6</f>
        <v>-</v>
      </c>
      <c r="T7" s="4">
        <v>0</v>
      </c>
      <c r="U7" s="4" t="str">
        <f>U6</f>
        <v>-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H33" sqref="H33"/>
    </sheetView>
  </sheetViews>
  <sheetFormatPr defaultRowHeight="15" x14ac:dyDescent="0.25"/>
  <cols>
    <col min="2" max="2" width="11.140625" customWidth="1"/>
    <col min="3" max="3" width="13.5703125" customWidth="1"/>
    <col min="4" max="4" width="7.140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44370</v>
      </c>
      <c r="B2" s="13" t="s">
        <v>21</v>
      </c>
      <c r="C2" s="13" t="s">
        <v>70</v>
      </c>
      <c r="D2" s="13" t="s">
        <v>22</v>
      </c>
      <c r="E2" s="4" t="s">
        <v>283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0.48958333333333331</v>
      </c>
      <c r="K2" s="6">
        <v>0.4826388888888889</v>
      </c>
      <c r="L2" s="5">
        <v>0.25694444444444448</v>
      </c>
      <c r="M2" s="6">
        <v>0.25347222222222221</v>
      </c>
      <c r="N2" s="13" t="s">
        <v>319</v>
      </c>
      <c r="O2" s="4" t="s">
        <v>316</v>
      </c>
      <c r="P2" s="4">
        <v>1027</v>
      </c>
      <c r="Q2" s="4">
        <v>303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44370</v>
      </c>
      <c r="B3" s="13" t="s">
        <v>21</v>
      </c>
      <c r="C3" s="13" t="s">
        <v>61</v>
      </c>
      <c r="D3" s="13" t="s">
        <v>22</v>
      </c>
      <c r="E3" s="13" t="s">
        <v>231</v>
      </c>
      <c r="F3" s="13" t="s">
        <v>23</v>
      </c>
      <c r="G3" s="13">
        <v>70000</v>
      </c>
      <c r="H3" s="13" t="s">
        <v>62</v>
      </c>
      <c r="I3" s="13" t="s">
        <v>63</v>
      </c>
      <c r="J3" s="14">
        <v>0.45833333333333331</v>
      </c>
      <c r="K3" s="15">
        <v>0.45416666666666666</v>
      </c>
      <c r="L3" s="14">
        <v>0.25694444444444448</v>
      </c>
      <c r="M3" s="15">
        <v>0.25833333333333336</v>
      </c>
      <c r="N3" s="13" t="s">
        <v>318</v>
      </c>
      <c r="O3" s="4" t="s">
        <v>317</v>
      </c>
      <c r="P3" s="4">
        <v>1004</v>
      </c>
      <c r="Q3" s="4">
        <v>123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44370</v>
      </c>
      <c r="B4" s="13" t="s">
        <v>21</v>
      </c>
      <c r="C4" s="13" t="s">
        <v>64</v>
      </c>
      <c r="D4" s="13" t="s">
        <v>22</v>
      </c>
      <c r="E4" s="13" t="s">
        <v>231</v>
      </c>
      <c r="F4" s="13" t="s">
        <v>23</v>
      </c>
      <c r="G4" s="13">
        <v>70000</v>
      </c>
      <c r="H4" s="13" t="s">
        <v>65</v>
      </c>
      <c r="I4" s="13" t="s">
        <v>66</v>
      </c>
      <c r="J4" s="14">
        <v>0.92708333333333337</v>
      </c>
      <c r="K4" s="15">
        <v>0.93263888888888891</v>
      </c>
      <c r="L4" s="14">
        <v>0.49305555555555558</v>
      </c>
      <c r="M4" s="15">
        <v>0.49305555555555558</v>
      </c>
      <c r="N4" s="13" t="s">
        <v>107</v>
      </c>
      <c r="O4" s="13" t="s">
        <v>38</v>
      </c>
      <c r="P4" s="13">
        <v>810</v>
      </c>
      <c r="Q4" s="13">
        <v>326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44370</v>
      </c>
      <c r="B5" s="13" t="s">
        <v>21</v>
      </c>
      <c r="C5" s="13" t="s">
        <v>89</v>
      </c>
      <c r="D5" s="13" t="s">
        <v>22</v>
      </c>
      <c r="E5" s="4" t="s">
        <v>283</v>
      </c>
      <c r="F5" s="13" t="s">
        <v>23</v>
      </c>
      <c r="G5" s="13">
        <v>70000</v>
      </c>
      <c r="H5" s="13" t="s">
        <v>91</v>
      </c>
      <c r="I5" s="13" t="s">
        <v>90</v>
      </c>
      <c r="J5" s="14">
        <v>0.94097222222222221</v>
      </c>
      <c r="K5" s="15">
        <v>0.9375</v>
      </c>
      <c r="L5" s="14">
        <v>0.76041666666666663</v>
      </c>
      <c r="M5" s="15">
        <v>0.76388888888888884</v>
      </c>
      <c r="N5" s="13" t="s">
        <v>322</v>
      </c>
      <c r="O5" s="13" t="s">
        <v>321</v>
      </c>
      <c r="P5" s="13">
        <v>536</v>
      </c>
      <c r="Q5" s="13">
        <v>353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12">
        <v>44370</v>
      </c>
      <c r="B6" s="4" t="s">
        <v>308</v>
      </c>
      <c r="C6" s="13" t="s">
        <v>320</v>
      </c>
      <c r="D6" s="4" t="s">
        <v>310</v>
      </c>
      <c r="E6" s="4" t="s">
        <v>311</v>
      </c>
      <c r="F6" s="4" t="s">
        <v>312</v>
      </c>
      <c r="G6" s="4">
        <v>8340</v>
      </c>
      <c r="H6" s="4" t="s">
        <v>313</v>
      </c>
      <c r="I6" s="4" t="s">
        <v>313</v>
      </c>
      <c r="J6" s="5" t="s">
        <v>168</v>
      </c>
      <c r="K6" s="6" t="s">
        <v>168</v>
      </c>
      <c r="L6" s="14">
        <v>0.72916666666666663</v>
      </c>
      <c r="M6" s="6">
        <v>0.75277777777777777</v>
      </c>
      <c r="N6" s="4">
        <v>0</v>
      </c>
      <c r="O6" s="4">
        <v>4</v>
      </c>
      <c r="P6" s="4">
        <v>0</v>
      </c>
      <c r="Q6" s="4">
        <v>0</v>
      </c>
      <c r="R6" s="4">
        <v>0</v>
      </c>
      <c r="S6" s="4">
        <f>S5</f>
        <v>0</v>
      </c>
      <c r="T6" s="4">
        <v>0</v>
      </c>
      <c r="U6" s="4">
        <f>U5</f>
        <v>0</v>
      </c>
    </row>
    <row r="7" spans="1:21" x14ac:dyDescent="0.25">
      <c r="A7" s="3"/>
      <c r="B7" s="13"/>
      <c r="C7" s="13"/>
      <c r="D7" s="13"/>
      <c r="E7" s="4"/>
      <c r="F7" s="13"/>
      <c r="G7" s="13"/>
      <c r="H7" s="4"/>
      <c r="I7" s="4"/>
      <c r="J7" s="5"/>
      <c r="K7" s="6"/>
      <c r="L7" s="5"/>
      <c r="M7" s="6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N4" sqref="N4"/>
    </sheetView>
  </sheetViews>
  <sheetFormatPr defaultRowHeight="15" x14ac:dyDescent="0.25"/>
  <cols>
    <col min="1" max="1" width="9.85546875" bestFit="1" customWidth="1"/>
    <col min="3" max="3" width="13.140625" bestFit="1" customWidth="1"/>
    <col min="4" max="4" width="5.7109375" bestFit="1" customWidth="1"/>
    <col min="6" max="6" width="12.140625" bestFit="1" customWidth="1"/>
    <col min="7" max="7" width="9.7109375" bestFit="1" customWidth="1"/>
    <col min="10" max="13" width="9.28515625" bestFit="1" customWidth="1"/>
    <col min="14" max="15" width="18.42578125" bestFit="1" customWidth="1"/>
    <col min="16" max="21" width="9.28515625" bestFit="1" customWidth="1"/>
  </cols>
  <sheetData>
    <row r="1" spans="1:22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6"/>
    </row>
    <row r="2" spans="1:22" x14ac:dyDescent="0.25">
      <c r="A2" s="12">
        <v>44371</v>
      </c>
      <c r="B2" s="13" t="s">
        <v>21</v>
      </c>
      <c r="C2" s="13" t="s">
        <v>24</v>
      </c>
      <c r="D2" s="13" t="s">
        <v>22</v>
      </c>
      <c r="E2" s="13" t="s">
        <v>231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0.4375</v>
      </c>
      <c r="K2" s="15">
        <v>0.43402777777777773</v>
      </c>
      <c r="L2" s="14">
        <v>0.27083333333333331</v>
      </c>
      <c r="M2" s="15">
        <v>0.2722222222222222</v>
      </c>
      <c r="N2" s="13" t="s">
        <v>167</v>
      </c>
      <c r="O2" s="13" t="s">
        <v>323</v>
      </c>
      <c r="P2" s="13">
        <v>320</v>
      </c>
      <c r="Q2" s="13">
        <v>177</v>
      </c>
      <c r="R2" s="13">
        <v>0</v>
      </c>
      <c r="S2" s="13">
        <v>0</v>
      </c>
      <c r="T2" s="13">
        <v>0</v>
      </c>
      <c r="U2" s="13">
        <v>0</v>
      </c>
      <c r="V2" s="16"/>
    </row>
    <row r="3" spans="1:22" x14ac:dyDescent="0.25">
      <c r="A3" s="12">
        <f>A2</f>
        <v>44371</v>
      </c>
      <c r="B3" s="13" t="s">
        <v>21</v>
      </c>
      <c r="C3" s="13" t="s">
        <v>79</v>
      </c>
      <c r="D3" s="13" t="s">
        <v>22</v>
      </c>
      <c r="E3" s="13" t="s">
        <v>283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0.76388888888888884</v>
      </c>
      <c r="K3" s="15">
        <v>0.75555555555555554</v>
      </c>
      <c r="L3" s="14">
        <v>0.57291666666666663</v>
      </c>
      <c r="M3" s="15">
        <v>0.57430555555555551</v>
      </c>
      <c r="N3" s="13" t="s">
        <v>325</v>
      </c>
      <c r="O3" s="13" t="s">
        <v>324</v>
      </c>
      <c r="P3" s="13">
        <v>1002</v>
      </c>
      <c r="Q3" s="13">
        <v>518</v>
      </c>
      <c r="R3" s="13">
        <v>0</v>
      </c>
      <c r="S3" s="13">
        <v>0</v>
      </c>
      <c r="T3" s="13">
        <v>0</v>
      </c>
      <c r="U3" s="13">
        <v>0</v>
      </c>
      <c r="V3" s="16"/>
    </row>
    <row r="4" spans="1:22" x14ac:dyDescent="0.25">
      <c r="A4" s="12">
        <f>A3</f>
        <v>44371</v>
      </c>
      <c r="B4" s="13" t="s">
        <v>21</v>
      </c>
      <c r="C4" s="13" t="s">
        <v>41</v>
      </c>
      <c r="D4" s="13" t="s">
        <v>22</v>
      </c>
      <c r="E4" s="13" t="str">
        <f>E2</f>
        <v>HA-LYL</v>
      </c>
      <c r="F4" s="13" t="s">
        <v>23</v>
      </c>
      <c r="G4" s="13">
        <v>70000</v>
      </c>
      <c r="H4" s="13" t="s">
        <v>42</v>
      </c>
      <c r="I4" s="13" t="s">
        <v>43</v>
      </c>
      <c r="J4" s="14">
        <v>0.94097222222222221</v>
      </c>
      <c r="K4" s="15">
        <v>0.92361111111111116</v>
      </c>
      <c r="L4" s="14">
        <v>0.79513888888888884</v>
      </c>
      <c r="M4" s="15">
        <v>0.7944444444444444</v>
      </c>
      <c r="N4" s="13" t="s">
        <v>329</v>
      </c>
      <c r="O4" s="13" t="s">
        <v>160</v>
      </c>
      <c r="P4" s="13">
        <v>586</v>
      </c>
      <c r="Q4" s="13">
        <v>465</v>
      </c>
      <c r="R4" s="13">
        <v>0</v>
      </c>
      <c r="S4" s="13">
        <v>0</v>
      </c>
      <c r="T4" s="13">
        <v>0</v>
      </c>
      <c r="U4" s="13">
        <v>0</v>
      </c>
      <c r="V4" s="16"/>
    </row>
    <row r="5" spans="1:22" s="10" customFormat="1" x14ac:dyDescent="0.25">
      <c r="A5" s="3">
        <v>44371</v>
      </c>
      <c r="B5" s="4" t="s">
        <v>328</v>
      </c>
      <c r="C5" s="4" t="s">
        <v>326</v>
      </c>
      <c r="D5" s="4" t="s">
        <v>304</v>
      </c>
      <c r="E5" s="4" t="s">
        <v>305</v>
      </c>
      <c r="F5" s="4" t="s">
        <v>327</v>
      </c>
      <c r="G5" s="4">
        <v>89000</v>
      </c>
      <c r="H5" s="4" t="s">
        <v>307</v>
      </c>
      <c r="I5" s="4" t="s">
        <v>307</v>
      </c>
      <c r="J5" s="5"/>
      <c r="K5" s="6"/>
      <c r="L5" s="19"/>
      <c r="M5" s="6">
        <v>0.81319444444444444</v>
      </c>
      <c r="N5" s="4"/>
      <c r="O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C34" sqref="C34"/>
    </sheetView>
  </sheetViews>
  <sheetFormatPr defaultRowHeight="12.75" x14ac:dyDescent="0.2"/>
  <cols>
    <col min="1" max="1" width="10.140625" style="4" bestFit="1" customWidth="1"/>
    <col min="2" max="2" width="19.28515625" style="4" bestFit="1" customWidth="1"/>
    <col min="3" max="3" width="17.140625" style="4" customWidth="1"/>
    <col min="4" max="4" width="9.140625" style="4"/>
    <col min="5" max="5" width="14.85546875" style="4" customWidth="1"/>
    <col min="6" max="6" width="15.42578125" style="4" customWidth="1"/>
    <col min="7" max="7" width="9.140625" style="4"/>
    <col min="8" max="8" width="13.42578125" style="4" customWidth="1"/>
    <col min="9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2">
        <v>44372</v>
      </c>
      <c r="B2" s="13" t="s">
        <v>21</v>
      </c>
      <c r="C2" s="13" t="s">
        <v>61</v>
      </c>
      <c r="D2" s="13" t="s">
        <v>22</v>
      </c>
      <c r="E2" s="13" t="s">
        <v>330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0.45694444444444443</v>
      </c>
      <c r="L2" s="14">
        <v>0.25694444444444448</v>
      </c>
      <c r="M2" s="15">
        <v>0.25555555555555559</v>
      </c>
      <c r="N2" s="13" t="s">
        <v>332</v>
      </c>
      <c r="O2" s="13" t="s">
        <v>331</v>
      </c>
      <c r="P2" s="13">
        <v>1351</v>
      </c>
      <c r="Q2" s="13">
        <v>243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12">
        <v>44372</v>
      </c>
      <c r="B3" s="13" t="s">
        <v>21</v>
      </c>
      <c r="C3" s="13" t="s">
        <v>64</v>
      </c>
      <c r="D3" s="13" t="s">
        <v>22</v>
      </c>
      <c r="E3" s="13" t="s">
        <v>239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0.91180555555555554</v>
      </c>
      <c r="L3" s="14">
        <v>0.46875</v>
      </c>
      <c r="M3" s="15">
        <v>0.46458333333333335</v>
      </c>
      <c r="N3" s="13" t="s">
        <v>339</v>
      </c>
      <c r="O3" s="13" t="s">
        <v>337</v>
      </c>
      <c r="P3" s="13">
        <v>1113</v>
      </c>
      <c r="Q3" s="13">
        <v>470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12">
        <v>44372</v>
      </c>
      <c r="B4" s="13" t="s">
        <v>21</v>
      </c>
      <c r="C4" s="13" t="s">
        <v>67</v>
      </c>
      <c r="D4" s="13" t="s">
        <v>22</v>
      </c>
      <c r="E4" s="13" t="str">
        <f>E2</f>
        <v>HALYO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0.72430555555555554</v>
      </c>
      <c r="L4" s="14">
        <v>0.48958333333333331</v>
      </c>
      <c r="M4" s="15">
        <v>0.49583333333333335</v>
      </c>
      <c r="N4" s="13" t="s">
        <v>148</v>
      </c>
      <c r="O4" s="13" t="s">
        <v>338</v>
      </c>
      <c r="P4" s="13">
        <v>1347</v>
      </c>
      <c r="Q4" s="13">
        <v>265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12">
        <v>44372</v>
      </c>
      <c r="B5" s="13" t="s">
        <v>21</v>
      </c>
      <c r="C5" s="13" t="s">
        <v>89</v>
      </c>
      <c r="D5" s="13" t="s">
        <v>22</v>
      </c>
      <c r="E5" s="13" t="str">
        <f>E4</f>
        <v>HALYO</v>
      </c>
      <c r="F5" s="13" t="s">
        <v>23</v>
      </c>
      <c r="G5" s="13">
        <v>70000</v>
      </c>
      <c r="H5" s="13" t="s">
        <v>91</v>
      </c>
      <c r="I5" s="13" t="s">
        <v>90</v>
      </c>
      <c r="J5" s="5">
        <v>0.92013888888888884</v>
      </c>
      <c r="K5" s="6">
        <v>0.92708333333333337</v>
      </c>
      <c r="L5" s="5">
        <v>0.73958333333333337</v>
      </c>
      <c r="M5" s="6">
        <v>0.76250000000000007</v>
      </c>
      <c r="N5" s="4" t="s">
        <v>118</v>
      </c>
      <c r="O5" s="4" t="s">
        <v>340</v>
      </c>
      <c r="P5" s="4">
        <v>950</v>
      </c>
      <c r="Q5" s="4">
        <v>653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12">
        <v>44372</v>
      </c>
      <c r="B6" s="13" t="s">
        <v>171</v>
      </c>
      <c r="C6" s="13" t="s">
        <v>172</v>
      </c>
      <c r="D6" s="13" t="s">
        <v>22</v>
      </c>
      <c r="E6" s="4" t="s">
        <v>335</v>
      </c>
      <c r="F6" s="13" t="s">
        <v>336</v>
      </c>
      <c r="G6" s="13">
        <v>77000</v>
      </c>
      <c r="H6" s="13" t="s">
        <v>140</v>
      </c>
      <c r="I6" s="13" t="s">
        <v>141</v>
      </c>
      <c r="J6" s="14">
        <v>0.3298611111111111</v>
      </c>
      <c r="K6" s="15">
        <v>0.32569444444444445</v>
      </c>
      <c r="L6" s="14">
        <v>0.37152777777777773</v>
      </c>
      <c r="M6" s="15">
        <v>0.38055555555555554</v>
      </c>
      <c r="N6" s="13" t="s">
        <v>333</v>
      </c>
      <c r="O6" s="13" t="s">
        <v>334</v>
      </c>
      <c r="P6" s="4">
        <v>2433</v>
      </c>
      <c r="Q6" s="13">
        <v>2041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/>
      <c r="B7" s="13"/>
      <c r="J7" s="5"/>
      <c r="K7" s="6"/>
      <c r="L7" s="5"/>
      <c r="M7" s="6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2" sqref="A2"/>
    </sheetView>
  </sheetViews>
  <sheetFormatPr defaultRowHeight="15" x14ac:dyDescent="0.25"/>
  <cols>
    <col min="1" max="1" width="9.28515625" customWidth="1"/>
    <col min="3" max="3" width="10.7109375" customWidth="1"/>
    <col min="16" max="16" width="9.7109375" customWidth="1"/>
    <col min="17" max="17" width="10.42578125" customWidth="1"/>
    <col min="18" max="18" width="4.140625" customWidth="1"/>
    <col min="19" max="19" width="5.140625" customWidth="1"/>
    <col min="20" max="20" width="3.28515625" customWidth="1"/>
    <col min="21" max="21" width="4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44373</v>
      </c>
      <c r="B2" s="13" t="s">
        <v>21</v>
      </c>
      <c r="C2" s="13" t="s">
        <v>24</v>
      </c>
      <c r="D2" s="13" t="s">
        <v>22</v>
      </c>
      <c r="E2" s="13" t="s">
        <v>180</v>
      </c>
      <c r="F2" s="13" t="s">
        <v>23</v>
      </c>
      <c r="G2" s="13">
        <v>70000</v>
      </c>
      <c r="H2" s="13" t="s">
        <v>25</v>
      </c>
      <c r="I2" s="13" t="s">
        <v>26</v>
      </c>
      <c r="J2" s="14">
        <v>0.4375</v>
      </c>
      <c r="K2" s="15">
        <v>0.43611111111111112</v>
      </c>
      <c r="L2" s="14">
        <v>0.27083333333333331</v>
      </c>
      <c r="M2" s="15">
        <v>0.26944444444444443</v>
      </c>
      <c r="N2" s="13" t="s">
        <v>343</v>
      </c>
      <c r="O2" s="13" t="s">
        <v>341</v>
      </c>
      <c r="P2" s="13">
        <v>907</v>
      </c>
      <c r="Q2" s="13">
        <v>467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44373</v>
      </c>
      <c r="B3" s="13" t="s">
        <v>21</v>
      </c>
      <c r="C3" s="13" t="s">
        <v>269</v>
      </c>
      <c r="D3" s="13" t="s">
        <v>22</v>
      </c>
      <c r="E3" s="13" t="s">
        <v>257</v>
      </c>
      <c r="F3" s="13" t="s">
        <v>23</v>
      </c>
      <c r="G3" s="13">
        <v>70000</v>
      </c>
      <c r="H3" s="13" t="s">
        <v>32</v>
      </c>
      <c r="I3" s="13" t="s">
        <v>33</v>
      </c>
      <c r="J3" s="14">
        <v>0.57291666666666663</v>
      </c>
      <c r="K3" s="15">
        <v>0.58194444444444449</v>
      </c>
      <c r="L3" s="14">
        <v>0.39583333333333331</v>
      </c>
      <c r="M3" s="15">
        <v>0.39513888888888887</v>
      </c>
      <c r="N3" s="13" t="s">
        <v>347</v>
      </c>
      <c r="O3" s="13" t="s">
        <v>342</v>
      </c>
      <c r="P3" s="13">
        <v>1657</v>
      </c>
      <c r="Q3" s="13">
        <v>785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2">
        <v>44373</v>
      </c>
      <c r="B4" s="13" t="s">
        <v>21</v>
      </c>
      <c r="C4" s="13" t="s">
        <v>268</v>
      </c>
      <c r="D4" s="13" t="s">
        <v>22</v>
      </c>
      <c r="E4" s="13" t="s">
        <v>260</v>
      </c>
      <c r="F4" s="13" t="s">
        <v>23</v>
      </c>
      <c r="G4" s="13">
        <v>70000</v>
      </c>
      <c r="H4" s="13" t="s">
        <v>28</v>
      </c>
      <c r="I4" s="13" t="s">
        <v>29</v>
      </c>
      <c r="J4" s="14">
        <v>0.67361111111111116</v>
      </c>
      <c r="K4" s="15">
        <v>0.66736111111111107</v>
      </c>
      <c r="L4" s="14">
        <v>0.46875</v>
      </c>
      <c r="M4" s="15">
        <v>0.4680555555555555</v>
      </c>
      <c r="N4" s="13" t="s">
        <v>346</v>
      </c>
      <c r="O4" s="13" t="s">
        <v>344</v>
      </c>
      <c r="P4" s="13">
        <v>1024</v>
      </c>
      <c r="Q4" s="13">
        <v>554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2">
        <v>44373</v>
      </c>
      <c r="B5" s="13" t="s">
        <v>21</v>
      </c>
      <c r="C5" s="13" t="s">
        <v>41</v>
      </c>
      <c r="D5" s="13" t="s">
        <v>22</v>
      </c>
      <c r="E5" s="13" t="s">
        <v>231</v>
      </c>
      <c r="F5" s="13" t="s">
        <v>23</v>
      </c>
      <c r="G5" s="13">
        <v>70000</v>
      </c>
      <c r="H5" s="13" t="s">
        <v>42</v>
      </c>
      <c r="I5" s="13" t="s">
        <v>43</v>
      </c>
      <c r="J5" s="14">
        <v>0.95486111111111116</v>
      </c>
      <c r="K5" s="15">
        <v>0.9784722222222223</v>
      </c>
      <c r="L5" s="14">
        <v>0.60069444444444442</v>
      </c>
      <c r="M5" s="15">
        <v>0.62152777777777779</v>
      </c>
      <c r="N5" s="13" t="s">
        <v>350</v>
      </c>
      <c r="O5" s="13" t="s">
        <v>345</v>
      </c>
      <c r="P5" s="13">
        <v>984</v>
      </c>
      <c r="Q5" s="13">
        <v>952</v>
      </c>
      <c r="R5" s="13">
        <v>0</v>
      </c>
      <c r="S5" s="13">
        <v>0</v>
      </c>
      <c r="T5" s="13">
        <v>0</v>
      </c>
      <c r="U5" s="13">
        <v>0</v>
      </c>
    </row>
    <row r="6" spans="1:21" x14ac:dyDescent="0.25">
      <c r="A6" s="12">
        <v>44373</v>
      </c>
      <c r="B6" s="13" t="s">
        <v>21</v>
      </c>
      <c r="C6" s="13" t="s">
        <v>120</v>
      </c>
      <c r="D6" s="13" t="s">
        <v>22</v>
      </c>
      <c r="E6" s="13" t="s">
        <v>30</v>
      </c>
      <c r="F6" s="13" t="s">
        <v>23</v>
      </c>
      <c r="G6" s="13">
        <v>70000</v>
      </c>
      <c r="H6" s="13" t="s">
        <v>121</v>
      </c>
      <c r="I6" s="13" t="s">
        <v>122</v>
      </c>
      <c r="J6" s="14">
        <v>0.90972222222222221</v>
      </c>
      <c r="K6" s="15">
        <v>0.9145833333333333</v>
      </c>
      <c r="L6" s="14">
        <v>0.69444444444444453</v>
      </c>
      <c r="M6" s="15">
        <v>0.69861111111111107</v>
      </c>
      <c r="N6" s="13" t="s">
        <v>349</v>
      </c>
      <c r="O6" s="13" t="s">
        <v>348</v>
      </c>
      <c r="P6" s="13">
        <v>1925</v>
      </c>
      <c r="Q6" s="13">
        <v>476</v>
      </c>
      <c r="R6" s="13">
        <v>0</v>
      </c>
      <c r="S6" s="13">
        <v>0</v>
      </c>
      <c r="T6" s="13">
        <v>0</v>
      </c>
      <c r="U6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4" sqref="K4"/>
    </sheetView>
  </sheetViews>
  <sheetFormatPr defaultRowHeight="15" x14ac:dyDescent="0.25"/>
  <cols>
    <col min="1" max="1" width="10.140625" style="4" bestFit="1" customWidth="1"/>
    <col min="2" max="2" width="8.140625" customWidth="1"/>
    <col min="3" max="3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44374</v>
      </c>
      <c r="B2" s="13" t="s">
        <v>21</v>
      </c>
      <c r="C2" s="13" t="s">
        <v>70</v>
      </c>
      <c r="D2" s="13" t="s">
        <v>22</v>
      </c>
      <c r="E2" s="13" t="s">
        <v>231</v>
      </c>
      <c r="F2" s="13" t="s">
        <v>23</v>
      </c>
      <c r="G2" s="13">
        <v>70000</v>
      </c>
      <c r="H2" s="13" t="s">
        <v>71</v>
      </c>
      <c r="I2" s="13" t="s">
        <v>72</v>
      </c>
      <c r="J2" s="14">
        <v>0.70486111111111116</v>
      </c>
      <c r="K2" s="15">
        <v>0.68888888888888899</v>
      </c>
      <c r="L2" s="14">
        <v>0.46875</v>
      </c>
      <c r="M2" s="15">
        <v>0.46388888888888885</v>
      </c>
      <c r="N2" s="13" t="s">
        <v>361</v>
      </c>
      <c r="O2" s="13" t="s">
        <v>356</v>
      </c>
      <c r="P2" s="13">
        <v>1386</v>
      </c>
      <c r="Q2" s="13">
        <v>360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44374</v>
      </c>
      <c r="B3" s="13" t="s">
        <v>21</v>
      </c>
      <c r="C3" s="13" t="s">
        <v>79</v>
      </c>
      <c r="D3" s="13" t="s">
        <v>22</v>
      </c>
      <c r="E3" s="13" t="s">
        <v>283</v>
      </c>
      <c r="F3" s="13" t="s">
        <v>23</v>
      </c>
      <c r="G3" s="13">
        <v>70000</v>
      </c>
      <c r="H3" s="13" t="s">
        <v>81</v>
      </c>
      <c r="I3" s="13" t="s">
        <v>82</v>
      </c>
      <c r="J3" s="14">
        <v>0.90625</v>
      </c>
      <c r="K3" s="15">
        <v>0.90694444444444444</v>
      </c>
      <c r="L3" s="14">
        <v>0.71527777777777779</v>
      </c>
      <c r="M3" s="15">
        <v>0.71875</v>
      </c>
      <c r="N3" s="13" t="s">
        <v>358</v>
      </c>
      <c r="O3" s="13" t="s">
        <v>359</v>
      </c>
      <c r="P3" s="13">
        <v>1322</v>
      </c>
      <c r="Q3" s="13">
        <v>973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2">
        <v>44374</v>
      </c>
      <c r="B4" s="13" t="s">
        <v>21</v>
      </c>
      <c r="C4" s="13" t="s">
        <v>275</v>
      </c>
      <c r="D4" s="13" t="s">
        <v>22</v>
      </c>
      <c r="E4" s="13" t="s">
        <v>231</v>
      </c>
      <c r="F4" s="13" t="s">
        <v>23</v>
      </c>
      <c r="G4" s="13">
        <v>70000</v>
      </c>
      <c r="H4" s="13" t="s">
        <v>276</v>
      </c>
      <c r="I4" s="13" t="s">
        <v>277</v>
      </c>
      <c r="J4" s="14">
        <v>0.94097222222222221</v>
      </c>
      <c r="K4" s="15">
        <v>0.94305555555555554</v>
      </c>
      <c r="L4" s="14">
        <v>0.72569444444444453</v>
      </c>
      <c r="M4" s="15">
        <v>0.72430555555555554</v>
      </c>
      <c r="N4" s="13" t="s">
        <v>360</v>
      </c>
      <c r="O4" s="13" t="s">
        <v>357</v>
      </c>
      <c r="P4" s="13">
        <v>1119</v>
      </c>
      <c r="Q4" s="13">
        <v>238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2">
        <v>44374</v>
      </c>
      <c r="B5" s="16" t="s">
        <v>351</v>
      </c>
      <c r="C5" s="13" t="s">
        <v>352</v>
      </c>
      <c r="D5" s="13" t="s">
        <v>353</v>
      </c>
      <c r="E5" s="13" t="s">
        <v>354</v>
      </c>
      <c r="F5" s="13" t="s">
        <v>355</v>
      </c>
      <c r="G5" s="13">
        <v>4000</v>
      </c>
      <c r="H5" s="13" t="s">
        <v>56</v>
      </c>
      <c r="I5" s="13" t="s">
        <v>56</v>
      </c>
      <c r="J5" s="15">
        <v>0.41666666666666669</v>
      </c>
      <c r="K5" s="15">
        <v>0.4513888888888889</v>
      </c>
      <c r="L5" s="15">
        <v>0.4375</v>
      </c>
      <c r="R5" s="13">
        <v>0</v>
      </c>
      <c r="S5" s="13">
        <v>0</v>
      </c>
      <c r="T5" s="13">
        <v>0</v>
      </c>
    </row>
    <row r="6" spans="1:21" x14ac:dyDescent="0.25">
      <c r="A6" s="12"/>
    </row>
    <row r="7" spans="1:21" x14ac:dyDescent="0.25">
      <c r="A7" s="3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selection activeCell="K5" sqref="K5"/>
    </sheetView>
  </sheetViews>
  <sheetFormatPr defaultRowHeight="12.75" x14ac:dyDescent="0.2"/>
  <cols>
    <col min="1" max="1" width="10.140625" style="4" bestFit="1" customWidth="1"/>
    <col min="2" max="2" width="19.28515625" style="4" bestFit="1" customWidth="1"/>
    <col min="3" max="3" width="17.140625" style="4" customWidth="1"/>
    <col min="4" max="4" width="9.140625" style="4"/>
    <col min="5" max="5" width="14.85546875" style="4" customWidth="1"/>
    <col min="6" max="6" width="15.42578125" style="4" customWidth="1"/>
    <col min="7" max="7" width="9.140625" style="4"/>
    <col min="8" max="8" width="13.42578125" style="4" customWidth="1"/>
    <col min="9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2">
        <v>44375</v>
      </c>
      <c r="B2" s="13" t="s">
        <v>21</v>
      </c>
      <c r="C2" s="13" t="s">
        <v>61</v>
      </c>
      <c r="D2" s="13" t="s">
        <v>22</v>
      </c>
      <c r="E2" s="13" t="s">
        <v>330</v>
      </c>
      <c r="F2" s="13" t="s">
        <v>23</v>
      </c>
      <c r="G2" s="13">
        <v>70000</v>
      </c>
      <c r="H2" s="13" t="s">
        <v>62</v>
      </c>
      <c r="I2" s="13" t="s">
        <v>63</v>
      </c>
      <c r="J2" s="14">
        <v>0.45833333333333331</v>
      </c>
      <c r="K2" s="15">
        <v>0.45</v>
      </c>
      <c r="L2" s="14">
        <v>0.25694444444444448</v>
      </c>
      <c r="M2" s="15">
        <v>0.25694444444444448</v>
      </c>
      <c r="N2" s="13" t="s">
        <v>362</v>
      </c>
      <c r="O2" s="13" t="s">
        <v>363</v>
      </c>
      <c r="P2" s="13">
        <v>1340</v>
      </c>
      <c r="Q2" s="13">
        <v>313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12">
        <v>44375</v>
      </c>
      <c r="B3" s="13" t="s">
        <v>21</v>
      </c>
      <c r="C3" s="13" t="s">
        <v>64</v>
      </c>
      <c r="D3" s="13" t="s">
        <v>22</v>
      </c>
      <c r="E3" s="13" t="s">
        <v>239</v>
      </c>
      <c r="F3" s="13" t="s">
        <v>23</v>
      </c>
      <c r="G3" s="13">
        <v>70000</v>
      </c>
      <c r="H3" s="13" t="s">
        <v>65</v>
      </c>
      <c r="I3" s="13" t="s">
        <v>66</v>
      </c>
      <c r="J3" s="14">
        <v>0.90277777777777779</v>
      </c>
      <c r="K3" s="15">
        <v>0.90138888888888891</v>
      </c>
      <c r="L3" s="14">
        <v>0.46875</v>
      </c>
      <c r="M3" s="15">
        <v>0.47152777777777777</v>
      </c>
      <c r="N3" s="13" t="s">
        <v>371</v>
      </c>
      <c r="O3" s="13" t="s">
        <v>125</v>
      </c>
      <c r="P3" s="13">
        <v>1165</v>
      </c>
      <c r="Q3" s="13">
        <v>559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12">
        <v>44375</v>
      </c>
      <c r="B4" s="13" t="s">
        <v>21</v>
      </c>
      <c r="C4" s="13" t="s">
        <v>67</v>
      </c>
      <c r="D4" s="13" t="s">
        <v>22</v>
      </c>
      <c r="E4" s="13" t="str">
        <f>E2</f>
        <v>HALYO</v>
      </c>
      <c r="F4" s="13" t="s">
        <v>23</v>
      </c>
      <c r="G4" s="13">
        <v>70000</v>
      </c>
      <c r="H4" s="13" t="s">
        <v>68</v>
      </c>
      <c r="I4" s="13" t="s">
        <v>69</v>
      </c>
      <c r="J4" s="14">
        <v>0.71875</v>
      </c>
      <c r="K4" s="15">
        <v>0.71388888888888891</v>
      </c>
      <c r="L4" s="14">
        <v>0.48958333333333331</v>
      </c>
      <c r="M4" s="15">
        <v>0.48958333333333331</v>
      </c>
      <c r="N4" s="13" t="s">
        <v>369</v>
      </c>
      <c r="O4" s="13" t="s">
        <v>364</v>
      </c>
      <c r="P4" s="13">
        <v>1476</v>
      </c>
      <c r="Q4" s="13">
        <v>403</v>
      </c>
      <c r="R4" s="4">
        <v>0</v>
      </c>
      <c r="S4" s="4">
        <v>0</v>
      </c>
      <c r="T4" s="4">
        <v>0</v>
      </c>
      <c r="U4" s="4">
        <v>0</v>
      </c>
    </row>
    <row r="5" spans="1:21" x14ac:dyDescent="0.2">
      <c r="A5" s="12">
        <v>44375</v>
      </c>
      <c r="B5" s="13" t="s">
        <v>21</v>
      </c>
      <c r="C5" s="13" t="s">
        <v>89</v>
      </c>
      <c r="D5" s="13" t="s">
        <v>22</v>
      </c>
      <c r="E5" s="13" t="str">
        <f>E4</f>
        <v>HALYO</v>
      </c>
      <c r="F5" s="13" t="s">
        <v>23</v>
      </c>
      <c r="G5" s="13">
        <v>70000</v>
      </c>
      <c r="H5" s="13" t="s">
        <v>91</v>
      </c>
      <c r="I5" s="13" t="s">
        <v>90</v>
      </c>
      <c r="J5" s="5">
        <v>0.92013888888888884</v>
      </c>
      <c r="K5" s="6">
        <v>0.9145833333333333</v>
      </c>
      <c r="L5" s="5">
        <v>0.73958333333333337</v>
      </c>
      <c r="M5" s="6">
        <v>0.74930555555555556</v>
      </c>
      <c r="N5" s="4" t="s">
        <v>372</v>
      </c>
      <c r="O5" s="4" t="s">
        <v>370</v>
      </c>
      <c r="P5" s="4">
        <v>716</v>
      </c>
      <c r="Q5" s="4">
        <v>650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">
      <c r="A6" s="12">
        <v>44375</v>
      </c>
      <c r="B6" s="13" t="s">
        <v>365</v>
      </c>
      <c r="C6" s="13" t="s">
        <v>303</v>
      </c>
      <c r="D6" s="13" t="s">
        <v>366</v>
      </c>
      <c r="E6" s="4" t="s">
        <v>367</v>
      </c>
      <c r="F6" s="13" t="s">
        <v>49</v>
      </c>
      <c r="G6" s="13">
        <v>23200</v>
      </c>
      <c r="H6" s="13" t="s">
        <v>368</v>
      </c>
      <c r="I6" s="13"/>
      <c r="J6" s="14">
        <v>0.5</v>
      </c>
      <c r="K6" s="15">
        <v>0.49374999999999997</v>
      </c>
      <c r="L6" s="14"/>
      <c r="M6" s="15"/>
      <c r="N6" s="13">
        <v>0</v>
      </c>
      <c r="O6" s="13"/>
      <c r="P6" s="4">
        <v>0</v>
      </c>
      <c r="Q6" s="13"/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3"/>
      <c r="B7" s="13"/>
      <c r="J7" s="5"/>
      <c r="K7" s="6"/>
      <c r="L7" s="5"/>
      <c r="M7" s="6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4" sqref="K4"/>
    </sheetView>
  </sheetViews>
  <sheetFormatPr defaultRowHeight="15" customHeight="1" x14ac:dyDescent="0.2"/>
  <cols>
    <col min="1" max="2" width="10.140625" style="4" bestFit="1" customWidth="1"/>
    <col min="3" max="3" width="13.28515625" style="4" bestFit="1" customWidth="1"/>
    <col min="4" max="5" width="9.140625" style="4"/>
    <col min="6" max="6" width="17.28515625" style="4" bestFit="1" customWidth="1"/>
    <col min="7" max="16384" width="9.140625" style="4"/>
  </cols>
  <sheetData>
    <row r="1" spans="1:2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2">
      <c r="A2" s="12">
        <v>44376</v>
      </c>
      <c r="B2" s="13" t="s">
        <v>21</v>
      </c>
      <c r="C2" s="13" t="s">
        <v>31</v>
      </c>
      <c r="D2" s="13" t="s">
        <v>22</v>
      </c>
      <c r="E2" s="13" t="s">
        <v>283</v>
      </c>
      <c r="F2" s="13" t="s">
        <v>23</v>
      </c>
      <c r="G2" s="13">
        <v>70000</v>
      </c>
      <c r="H2" s="13" t="s">
        <v>32</v>
      </c>
      <c r="I2" s="13" t="s">
        <v>33</v>
      </c>
      <c r="J2" s="14">
        <v>0.57291666666666663</v>
      </c>
      <c r="K2" s="15">
        <v>0.57152777777777775</v>
      </c>
      <c r="L2" s="14">
        <v>0.39583333333333331</v>
      </c>
      <c r="M2" s="15">
        <v>0.40208333333333335</v>
      </c>
      <c r="N2" s="13" t="s">
        <v>377</v>
      </c>
      <c r="O2" s="13" t="s">
        <v>375</v>
      </c>
      <c r="P2" s="13">
        <v>1080</v>
      </c>
      <c r="Q2" s="13">
        <v>711</v>
      </c>
      <c r="R2" s="4">
        <v>0</v>
      </c>
      <c r="S2" s="4">
        <v>0</v>
      </c>
      <c r="T2" s="4">
        <v>0</v>
      </c>
      <c r="U2" s="4">
        <v>0</v>
      </c>
    </row>
    <row r="3" spans="1:21" ht="15" customHeight="1" x14ac:dyDescent="0.2">
      <c r="A3" s="12">
        <v>44376</v>
      </c>
      <c r="B3" s="13" t="s">
        <v>21</v>
      </c>
      <c r="C3" s="13" t="s">
        <v>24</v>
      </c>
      <c r="D3" s="13" t="s">
        <v>22</v>
      </c>
      <c r="E3" s="4" t="s">
        <v>231</v>
      </c>
      <c r="F3" s="13" t="s">
        <v>23</v>
      </c>
      <c r="G3" s="13">
        <v>70000</v>
      </c>
      <c r="H3" s="13" t="s">
        <v>25</v>
      </c>
      <c r="I3" s="13" t="s">
        <v>26</v>
      </c>
      <c r="J3" s="14">
        <v>0.9375</v>
      </c>
      <c r="K3" s="15">
        <v>0.70416666666666661</v>
      </c>
      <c r="L3" s="14">
        <v>0.49652777777777773</v>
      </c>
      <c r="M3" s="15">
        <v>0.50694444444444442</v>
      </c>
      <c r="N3" s="13" t="s">
        <v>294</v>
      </c>
      <c r="O3" s="13" t="s">
        <v>376</v>
      </c>
      <c r="P3" s="13">
        <v>670</v>
      </c>
      <c r="Q3" s="13">
        <v>597</v>
      </c>
      <c r="R3" s="4">
        <v>0</v>
      </c>
      <c r="S3" s="4">
        <v>0</v>
      </c>
      <c r="T3" s="4">
        <v>0</v>
      </c>
      <c r="U3" s="4">
        <v>0</v>
      </c>
    </row>
    <row r="4" spans="1:21" ht="15" customHeight="1" x14ac:dyDescent="0.2">
      <c r="A4" s="12">
        <v>44376</v>
      </c>
      <c r="B4" s="13" t="s">
        <v>21</v>
      </c>
      <c r="C4" s="13" t="s">
        <v>41</v>
      </c>
      <c r="D4" s="13" t="s">
        <v>22</v>
      </c>
      <c r="E4" s="13" t="s">
        <v>283</v>
      </c>
      <c r="F4" s="13" t="s">
        <v>23</v>
      </c>
      <c r="G4" s="13">
        <v>70000</v>
      </c>
      <c r="H4" s="13" t="s">
        <v>42</v>
      </c>
      <c r="I4" s="13" t="s">
        <v>43</v>
      </c>
      <c r="J4" s="14">
        <v>0.95486111111111116</v>
      </c>
      <c r="K4" s="15">
        <v>0.98541666666666661</v>
      </c>
      <c r="L4" s="14">
        <v>0.60069444444444442</v>
      </c>
      <c r="M4" s="15">
        <v>0.60902777777777783</v>
      </c>
      <c r="N4" s="13" t="s">
        <v>379</v>
      </c>
      <c r="O4" s="13" t="s">
        <v>378</v>
      </c>
      <c r="P4" s="13">
        <v>357</v>
      </c>
      <c r="Q4" s="13">
        <v>551</v>
      </c>
      <c r="R4" s="4">
        <v>0</v>
      </c>
      <c r="S4" s="4">
        <v>0</v>
      </c>
      <c r="T4" s="4">
        <v>0</v>
      </c>
      <c r="U4" s="4">
        <v>0</v>
      </c>
    </row>
    <row r="5" spans="1:21" ht="15" customHeight="1" x14ac:dyDescent="0.2">
      <c r="A5" s="12">
        <v>44376</v>
      </c>
      <c r="B5" s="13" t="s">
        <v>171</v>
      </c>
      <c r="C5" s="13" t="s">
        <v>172</v>
      </c>
      <c r="D5" s="13" t="s">
        <v>22</v>
      </c>
      <c r="E5" s="13" t="s">
        <v>174</v>
      </c>
      <c r="F5" s="13" t="s">
        <v>173</v>
      </c>
      <c r="G5" s="13">
        <v>77000</v>
      </c>
      <c r="H5" s="13" t="s">
        <v>140</v>
      </c>
      <c r="I5" s="13" t="s">
        <v>141</v>
      </c>
      <c r="J5" s="5">
        <v>0.3298611111111111</v>
      </c>
      <c r="K5" s="6">
        <v>0.31388888888888888</v>
      </c>
      <c r="L5" s="5">
        <v>0.37152777777777773</v>
      </c>
      <c r="M5" s="6">
        <v>0.37222222222222223</v>
      </c>
      <c r="N5" s="4" t="s">
        <v>373</v>
      </c>
      <c r="O5" s="4" t="s">
        <v>374</v>
      </c>
      <c r="P5" s="4">
        <v>2442</v>
      </c>
      <c r="Q5" s="4">
        <v>2083</v>
      </c>
      <c r="R5" s="4">
        <v>0</v>
      </c>
      <c r="S5" s="4">
        <v>0</v>
      </c>
      <c r="T5" s="4">
        <v>0</v>
      </c>
      <c r="U5" s="4">
        <v>0</v>
      </c>
    </row>
    <row r="6" spans="1:21" ht="15" customHeight="1" x14ac:dyDescent="0.2">
      <c r="A6" s="3"/>
      <c r="J6" s="5"/>
      <c r="K6" s="6"/>
      <c r="L6" s="19"/>
    </row>
    <row r="7" spans="1:21" ht="15" customHeight="1" x14ac:dyDescent="0.2">
      <c r="A7" s="3"/>
      <c r="J7" s="5"/>
      <c r="K7" s="6"/>
      <c r="L7" s="19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B1" workbookViewId="0">
      <selection activeCell="K4" sqref="K4"/>
    </sheetView>
  </sheetViews>
  <sheetFormatPr defaultRowHeight="15" x14ac:dyDescent="0.25"/>
  <cols>
    <col min="2" max="2" width="17.7109375" bestFit="1" customWidth="1"/>
    <col min="3" max="3" width="13.5703125" customWidth="1"/>
    <col min="4" max="4" width="7.140625" customWidth="1"/>
    <col min="6" max="6" width="21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44377</v>
      </c>
      <c r="B2" s="13" t="s">
        <v>21</v>
      </c>
      <c r="C2" s="13" t="s">
        <v>70</v>
      </c>
      <c r="D2" s="13" t="s">
        <v>22</v>
      </c>
      <c r="E2" s="4" t="s">
        <v>380</v>
      </c>
      <c r="F2" s="4" t="s">
        <v>23</v>
      </c>
      <c r="G2" s="4">
        <v>70000</v>
      </c>
      <c r="H2" s="13" t="s">
        <v>71</v>
      </c>
      <c r="I2" s="13" t="s">
        <v>72</v>
      </c>
      <c r="J2" s="5">
        <v>0.48958333333333331</v>
      </c>
      <c r="K2" s="6">
        <v>0.47916666666666669</v>
      </c>
      <c r="L2" s="5">
        <v>0.25694444444444448</v>
      </c>
      <c r="M2" s="6">
        <v>0.25069444444444444</v>
      </c>
      <c r="N2" s="13" t="s">
        <v>315</v>
      </c>
      <c r="O2" s="4" t="s">
        <v>381</v>
      </c>
      <c r="P2" s="4">
        <v>980</v>
      </c>
      <c r="Q2" s="4">
        <v>175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44377</v>
      </c>
      <c r="B3" s="13" t="s">
        <v>21</v>
      </c>
      <c r="C3" s="13" t="s">
        <v>61</v>
      </c>
      <c r="D3" s="13" t="s">
        <v>22</v>
      </c>
      <c r="E3" s="13" t="s">
        <v>283</v>
      </c>
      <c r="F3" s="13" t="s">
        <v>23</v>
      </c>
      <c r="G3" s="13">
        <v>70000</v>
      </c>
      <c r="H3" s="13" t="s">
        <v>62</v>
      </c>
      <c r="I3" s="13" t="s">
        <v>63</v>
      </c>
      <c r="J3" s="14">
        <v>0.45833333333333331</v>
      </c>
      <c r="K3" s="15">
        <v>0.4513888888888889</v>
      </c>
      <c r="L3" s="14">
        <v>0.25694444444444448</v>
      </c>
      <c r="M3" s="15">
        <v>0.26111111111111113</v>
      </c>
      <c r="N3" s="13" t="s">
        <v>386</v>
      </c>
      <c r="O3" s="4" t="s">
        <v>384</v>
      </c>
      <c r="P3" s="4">
        <v>931</v>
      </c>
      <c r="Q3" s="4">
        <v>358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12">
        <v>44377</v>
      </c>
      <c r="B4" s="13" t="s">
        <v>21</v>
      </c>
      <c r="C4" s="13" t="s">
        <v>64</v>
      </c>
      <c r="D4" s="13" t="s">
        <v>22</v>
      </c>
      <c r="E4" s="13" t="s">
        <v>283</v>
      </c>
      <c r="F4" s="13" t="s">
        <v>23</v>
      </c>
      <c r="G4" s="13">
        <v>70000</v>
      </c>
      <c r="H4" s="13" t="s">
        <v>65</v>
      </c>
      <c r="I4" s="13" t="s">
        <v>66</v>
      </c>
      <c r="J4" s="14">
        <v>0.92708333333333337</v>
      </c>
      <c r="K4" s="15">
        <v>0.95277777777777783</v>
      </c>
      <c r="L4" s="14">
        <v>0.49305555555555558</v>
      </c>
      <c r="M4" s="15">
        <v>0.48888888888888887</v>
      </c>
      <c r="N4" s="13" t="s">
        <v>393</v>
      </c>
      <c r="O4" s="13" t="s">
        <v>270</v>
      </c>
      <c r="P4" s="13">
        <v>1505</v>
      </c>
      <c r="Q4" s="13">
        <v>496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12">
        <v>44377</v>
      </c>
      <c r="B5" s="13" t="s">
        <v>21</v>
      </c>
      <c r="C5" s="13" t="s">
        <v>89</v>
      </c>
      <c r="D5" s="13" t="s">
        <v>22</v>
      </c>
      <c r="E5" s="4" t="str">
        <f>E2</f>
        <v>HA-LWZ</v>
      </c>
      <c r="F5" s="13" t="s">
        <v>23</v>
      </c>
      <c r="G5" s="13">
        <v>70000</v>
      </c>
      <c r="H5" s="13" t="s">
        <v>91</v>
      </c>
      <c r="I5" s="13" t="s">
        <v>90</v>
      </c>
      <c r="J5" s="14">
        <v>0.94097222222222221</v>
      </c>
      <c r="K5" s="15">
        <v>0.9277777777777777</v>
      </c>
      <c r="L5" s="14">
        <v>0.76041666666666663</v>
      </c>
      <c r="M5" s="15">
        <v>0.75902777777777775</v>
      </c>
      <c r="N5" s="13" t="s">
        <v>392</v>
      </c>
      <c r="O5" s="13" t="s">
        <v>229</v>
      </c>
      <c r="P5" s="13">
        <v>544</v>
      </c>
      <c r="Q5" s="13">
        <v>240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12">
        <v>44377</v>
      </c>
      <c r="B6" s="4" t="s">
        <v>365</v>
      </c>
      <c r="C6" s="13" t="s">
        <v>382</v>
      </c>
      <c r="D6" s="4" t="s">
        <v>366</v>
      </c>
      <c r="E6" s="4" t="s">
        <v>385</v>
      </c>
      <c r="F6" s="4" t="s">
        <v>383</v>
      </c>
      <c r="G6" s="4">
        <v>24000</v>
      </c>
      <c r="H6" s="4" t="s">
        <v>56</v>
      </c>
      <c r="I6" s="4" t="s">
        <v>368</v>
      </c>
      <c r="J6" s="5" t="s">
        <v>168</v>
      </c>
      <c r="K6" s="6" t="s">
        <v>168</v>
      </c>
      <c r="L6" s="14">
        <v>0.29166666666666669</v>
      </c>
      <c r="M6" s="6">
        <v>0.32361111111111113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f>S5</f>
        <v>0</v>
      </c>
      <c r="T6" s="4">
        <v>0</v>
      </c>
      <c r="U6" s="4">
        <f>U5</f>
        <v>0</v>
      </c>
    </row>
    <row r="7" spans="1:21" x14ac:dyDescent="0.25">
      <c r="A7" s="12">
        <v>44377</v>
      </c>
      <c r="B7" s="13" t="s">
        <v>21</v>
      </c>
      <c r="C7" s="13" t="s">
        <v>389</v>
      </c>
      <c r="D7" s="13" t="s">
        <v>22</v>
      </c>
      <c r="E7" s="4" t="s">
        <v>388</v>
      </c>
      <c r="F7" s="4" t="s">
        <v>147</v>
      </c>
      <c r="G7" s="4">
        <v>70000</v>
      </c>
      <c r="H7" s="13" t="s">
        <v>387</v>
      </c>
      <c r="I7" s="13"/>
      <c r="J7" s="5">
        <v>0.51736111111111105</v>
      </c>
      <c r="K7" s="6">
        <v>0.50972222222222219</v>
      </c>
      <c r="L7" s="5">
        <v>0.67708333333333337</v>
      </c>
      <c r="M7" s="6">
        <v>0.68055555555555547</v>
      </c>
      <c r="N7" s="13" t="s">
        <v>391</v>
      </c>
      <c r="O7" s="4" t="s">
        <v>390</v>
      </c>
      <c r="P7" s="4">
        <v>1820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12">
        <v>44377</v>
      </c>
      <c r="B8" s="13" t="s">
        <v>21</v>
      </c>
      <c r="C8" s="13" t="s">
        <v>303</v>
      </c>
      <c r="D8" s="13" t="s">
        <v>22</v>
      </c>
      <c r="E8" s="4" t="s">
        <v>388</v>
      </c>
      <c r="F8" s="4" t="s">
        <v>147</v>
      </c>
      <c r="G8" s="4">
        <v>70000</v>
      </c>
      <c r="H8" s="13" t="s">
        <v>387</v>
      </c>
      <c r="I8" s="13"/>
      <c r="J8" s="5">
        <v>0.72222222222222221</v>
      </c>
      <c r="K8" s="6">
        <v>0.71527777777777779</v>
      </c>
      <c r="L8" s="5" t="s">
        <v>168</v>
      </c>
      <c r="M8" s="6" t="s">
        <v>168</v>
      </c>
      <c r="N8" s="13" t="s">
        <v>390</v>
      </c>
      <c r="O8" s="4"/>
      <c r="P8" s="4"/>
      <c r="Q8" s="4"/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2021-02-01T03:54:40Z</dcterms:created>
  <dcterms:modified xsi:type="dcterms:W3CDTF">2021-06-30T20:53:09Z</dcterms:modified>
</cp:coreProperties>
</file>