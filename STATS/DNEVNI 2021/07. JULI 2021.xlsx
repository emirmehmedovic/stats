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35" windowWidth="18195" windowHeight="10560" tabRatio="640" firstSheet="10" activeTab="30"/>
  </bookViews>
  <sheets>
    <sheet name="1" sheetId="31" r:id="rId1"/>
    <sheet name="2" sheetId="32" r:id="rId2"/>
    <sheet name="3" sheetId="33" r:id="rId3"/>
    <sheet name="4" sheetId="34" r:id="rId4"/>
    <sheet name="5" sheetId="35" r:id="rId5"/>
    <sheet name="6" sheetId="36" r:id="rId6"/>
    <sheet name="7" sheetId="37" r:id="rId7"/>
    <sheet name="8" sheetId="39" r:id="rId8"/>
    <sheet name="9" sheetId="40" r:id="rId9"/>
    <sheet name="10" sheetId="41" r:id="rId10"/>
    <sheet name="11" sheetId="42" r:id="rId11"/>
    <sheet name="12" sheetId="43" r:id="rId12"/>
    <sheet name="13" sheetId="44" r:id="rId13"/>
    <sheet name="14" sheetId="45" r:id="rId14"/>
    <sheet name="15" sheetId="46" r:id="rId15"/>
    <sheet name="16" sheetId="47" r:id="rId16"/>
    <sheet name="17" sheetId="48" r:id="rId17"/>
    <sheet name="18" sheetId="49" r:id="rId18"/>
    <sheet name="19" sheetId="50" r:id="rId19"/>
    <sheet name="20" sheetId="51" r:id="rId20"/>
    <sheet name="21" sheetId="52" r:id="rId21"/>
    <sheet name="22" sheetId="53" r:id="rId22"/>
    <sheet name="23" sheetId="54" r:id="rId23"/>
    <sheet name="24" sheetId="55" r:id="rId24"/>
    <sheet name="25" sheetId="56" r:id="rId25"/>
    <sheet name="26" sheetId="57" r:id="rId26"/>
    <sheet name="27" sheetId="58" r:id="rId27"/>
    <sheet name="28" sheetId="59" r:id="rId28"/>
    <sheet name="29" sheetId="60" r:id="rId29"/>
    <sheet name="30" sheetId="61" r:id="rId30"/>
    <sheet name="31" sheetId="62" r:id="rId31"/>
  </sheets>
  <calcPr calcId="145621"/>
</workbook>
</file>

<file path=xl/calcChain.xml><?xml version="1.0" encoding="utf-8"?>
<calcChain xmlns="http://schemas.openxmlformats.org/spreadsheetml/2006/main">
  <c r="E5" i="62" l="1"/>
  <c r="E7" i="62" s="1"/>
  <c r="E4" i="62"/>
  <c r="E6" i="62" s="1"/>
  <c r="E6" i="61" l="1"/>
  <c r="E4" i="61"/>
  <c r="A7" i="61"/>
  <c r="A6" i="61"/>
  <c r="A5" i="61"/>
  <c r="A4" i="61"/>
  <c r="E5" i="61"/>
  <c r="A8" i="60" l="1"/>
  <c r="A7" i="60" l="1"/>
  <c r="A7" i="57" l="1"/>
  <c r="E5" i="57"/>
  <c r="E6" i="57" s="1"/>
  <c r="A3" i="57"/>
  <c r="A4" i="57" s="1"/>
  <c r="A5" i="57" s="1"/>
  <c r="A6" i="57" s="1"/>
  <c r="E5" i="56" l="1"/>
  <c r="E9" i="55" l="1"/>
  <c r="I8" i="54" l="1"/>
  <c r="M7" i="54" l="1"/>
  <c r="E5" i="54" l="1"/>
  <c r="A8" i="53" l="1"/>
  <c r="A7" i="53" l="1"/>
  <c r="E6" i="50" l="1"/>
  <c r="E5" i="50"/>
  <c r="E4" i="50"/>
  <c r="A6" i="50"/>
  <c r="A5" i="50"/>
  <c r="A4" i="50"/>
  <c r="A3" i="50"/>
  <c r="E4" i="35" l="1"/>
  <c r="E5" i="35" s="1"/>
</calcChain>
</file>

<file path=xl/comments1.xml><?xml version="1.0" encoding="utf-8"?>
<comments xmlns="http://schemas.openxmlformats.org/spreadsheetml/2006/main">
  <authors>
    <author>OPC</author>
  </authors>
  <commentList>
    <comment ref="E3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U dolasku HA-LYN</t>
        </r>
      </text>
    </comment>
  </commentList>
</comments>
</file>

<file path=xl/sharedStrings.xml><?xml version="1.0" encoding="utf-8"?>
<sst xmlns="http://schemas.openxmlformats.org/spreadsheetml/2006/main" count="2338" uniqueCount="499">
  <si>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</si>
  <si>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</si>
  <si>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</si>
  <si>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</si>
  <si>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</si>
  <si>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</si>
  <si>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</si>
  <si>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</si>
  <si>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</si>
  <si>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</si>
  <si>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</si>
  <si>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</si>
  <si>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</si>
  <si>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</si>
  <si>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</si>
  <si>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</si>
  <si>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</si>
  <si>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</si>
  <si>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</si>
  <si>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</si>
  <si>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</si>
  <si>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</si>
  <si>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</si>
  <si>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</si>
  <si>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TZL-MLH-TZL</t>
  </si>
  <si>
    <t>W64294</t>
  </si>
  <si>
    <t>W64293</t>
  </si>
  <si>
    <t>TZL-FMM-TZL</t>
  </si>
  <si>
    <t>W64280</t>
  </si>
  <si>
    <t>W64279</t>
  </si>
  <si>
    <t>TZL-CGN-TZL</t>
  </si>
  <si>
    <t>W64300</t>
  </si>
  <si>
    <t>W64299</t>
  </si>
  <si>
    <t>HA-LYO</t>
  </si>
  <si>
    <t>TECHNICAL</t>
  </si>
  <si>
    <t>HA-LWZ</t>
  </si>
  <si>
    <t>TZL-SJJ</t>
  </si>
  <si>
    <t>HA-LWR</t>
  </si>
  <si>
    <t>W6802</t>
  </si>
  <si>
    <t>78+2 INF</t>
  </si>
  <si>
    <t>130+6 INF</t>
  </si>
  <si>
    <t>127+6 INF</t>
  </si>
  <si>
    <t>69+3 INF</t>
  </si>
  <si>
    <t>48+0 INF</t>
  </si>
  <si>
    <t>TZL-MMX-TZL</t>
  </si>
  <si>
    <t>HALYO</t>
  </si>
  <si>
    <t>W64292</t>
  </si>
  <si>
    <t>W64291</t>
  </si>
  <si>
    <t>TZL-DTM-TZL</t>
  </si>
  <si>
    <t>W64298</t>
  </si>
  <si>
    <t>W64297</t>
  </si>
  <si>
    <t>TZL-GOT-TZL</t>
  </si>
  <si>
    <t>W64296</t>
  </si>
  <si>
    <t>W64295</t>
  </si>
  <si>
    <t>TZL-HHN-TZL</t>
  </si>
  <si>
    <t>W64284</t>
  </si>
  <si>
    <t>W64283</t>
  </si>
  <si>
    <t>FREEBIRD</t>
  </si>
  <si>
    <t>AYT-TZL-AYT</t>
  </si>
  <si>
    <t>TC-FHC</t>
  </si>
  <si>
    <t>CHARTER</t>
  </si>
  <si>
    <t>FHY821</t>
  </si>
  <si>
    <t>FHY822</t>
  </si>
  <si>
    <t>02.07.202</t>
  </si>
  <si>
    <t>TZL-FKB-TZL</t>
  </si>
  <si>
    <t>HALWZ</t>
  </si>
  <si>
    <t>W64618</t>
  </si>
  <si>
    <t>W64617</t>
  </si>
  <si>
    <t>160+6INF</t>
  </si>
  <si>
    <t>134+8INF</t>
  </si>
  <si>
    <t>179+5INF</t>
  </si>
  <si>
    <t>55+0INF</t>
  </si>
  <si>
    <t>59+1INF</t>
  </si>
  <si>
    <t>177+4INF</t>
  </si>
  <si>
    <t>84+2INF</t>
  </si>
  <si>
    <t>55+1INF</t>
  </si>
  <si>
    <t>74+1INF</t>
  </si>
  <si>
    <t>161+1INF</t>
  </si>
  <si>
    <t>148+4INF</t>
  </si>
  <si>
    <t>BER-TZL-BER</t>
  </si>
  <si>
    <t>W64276</t>
  </si>
  <si>
    <t>W64275</t>
  </si>
  <si>
    <t>EIN-TZL-EIN</t>
  </si>
  <si>
    <t>W64290</t>
  </si>
  <si>
    <t>W64289</t>
  </si>
  <si>
    <t>TZL-VXO-TZL</t>
  </si>
  <si>
    <t>W64612</t>
  </si>
  <si>
    <t>W64611</t>
  </si>
  <si>
    <t>tip OPER</t>
  </si>
  <si>
    <t>76+1 INF</t>
  </si>
  <si>
    <t>131+2 INF</t>
  </si>
  <si>
    <t>174+3 INF</t>
  </si>
  <si>
    <t>67+1 INF</t>
  </si>
  <si>
    <t>178+10 INF</t>
  </si>
  <si>
    <t>OTKAZAN</t>
  </si>
  <si>
    <t>179+1INF</t>
  </si>
  <si>
    <t>133+3INF</t>
  </si>
  <si>
    <t>168+6INF</t>
  </si>
  <si>
    <t>32+0INF</t>
  </si>
  <si>
    <t>TZL-NYO-TZL</t>
  </si>
  <si>
    <t>VXO-TZL</t>
  </si>
  <si>
    <t>TZL-BLL-TZL</t>
  </si>
  <si>
    <t>W64281</t>
  </si>
  <si>
    <t>-</t>
  </si>
  <si>
    <t>W64277</t>
  </si>
  <si>
    <t>W64278</t>
  </si>
  <si>
    <t>W64282</t>
  </si>
  <si>
    <t>173+7 INF</t>
  </si>
  <si>
    <t>145+4 INF</t>
  </si>
  <si>
    <t>147+6 INF</t>
  </si>
  <si>
    <t>44+0 INF</t>
  </si>
  <si>
    <t>171+2 INF</t>
  </si>
  <si>
    <t>180+3 INF</t>
  </si>
  <si>
    <t>59+0INF</t>
  </si>
  <si>
    <t>180+9INF</t>
  </si>
  <si>
    <t>94+1INF</t>
  </si>
  <si>
    <t>40+0INF</t>
  </si>
  <si>
    <t>JUNG SKY</t>
  </si>
  <si>
    <t>ZAG-TZL-ZAD</t>
  </si>
  <si>
    <t>C25A</t>
  </si>
  <si>
    <t>9A-JSD</t>
  </si>
  <si>
    <t>JSY058D</t>
  </si>
  <si>
    <t>JSYO57D</t>
  </si>
  <si>
    <t>HIFLY</t>
  </si>
  <si>
    <t>SJJ-TZL</t>
  </si>
  <si>
    <t>A321</t>
  </si>
  <si>
    <t>9H-LIS</t>
  </si>
  <si>
    <t>GENERAL AVIATION PRIVATE</t>
  </si>
  <si>
    <t>ROP</t>
  </si>
  <si>
    <t>147+1 INF</t>
  </si>
  <si>
    <t>178+2 INF</t>
  </si>
  <si>
    <t>105+3 INF</t>
  </si>
  <si>
    <t>131+5 INF</t>
  </si>
  <si>
    <t>WIZZAR</t>
  </si>
  <si>
    <t>TZL-VIE-TZL</t>
  </si>
  <si>
    <t>W64286</t>
  </si>
  <si>
    <t>W64285</t>
  </si>
  <si>
    <t>TZL-EIN-TZL</t>
  </si>
  <si>
    <t>TZL-BER-TZL</t>
  </si>
  <si>
    <t>TCFHC</t>
  </si>
  <si>
    <t>NON-SCHEDULED</t>
  </si>
  <si>
    <t>37+0INF</t>
  </si>
  <si>
    <t>168+5INF</t>
  </si>
  <si>
    <t>158+1INF</t>
  </si>
  <si>
    <t>176+9INF</t>
  </si>
  <si>
    <t>180+4INF</t>
  </si>
  <si>
    <t>99+3INF</t>
  </si>
  <si>
    <t>PRIVATE</t>
  </si>
  <si>
    <t>BNX-TZL</t>
  </si>
  <si>
    <t>PA28</t>
  </si>
  <si>
    <t>F-HITS</t>
  </si>
  <si>
    <t>77+2INF</t>
  </si>
  <si>
    <t>180+3INF</t>
  </si>
  <si>
    <t>106+3INF</t>
  </si>
  <si>
    <t>142+2INF</t>
  </si>
  <si>
    <t>164+6INF</t>
  </si>
  <si>
    <t>39+1 INF</t>
  </si>
  <si>
    <t>68+1 INF</t>
  </si>
  <si>
    <t>153+3 INF</t>
  </si>
  <si>
    <t>40+3 INF</t>
  </si>
  <si>
    <t>159+5INF</t>
  </si>
  <si>
    <t>178+3INF</t>
  </si>
  <si>
    <t>124+3INF</t>
  </si>
  <si>
    <t>54+3INF</t>
  </si>
  <si>
    <t>Mohamed Mirghani</t>
  </si>
  <si>
    <t>BEG-TZL-BEG</t>
  </si>
  <si>
    <t>BE36</t>
  </si>
  <si>
    <t>T7-BEN</t>
  </si>
  <si>
    <t>GEN.PVT.</t>
  </si>
  <si>
    <t>41+1 INF</t>
  </si>
  <si>
    <t>65+1 INF</t>
  </si>
  <si>
    <t>178+3 INF</t>
  </si>
  <si>
    <t>32+0 INF</t>
  </si>
  <si>
    <t>166+3 INF</t>
  </si>
  <si>
    <t>167+1 INF</t>
  </si>
  <si>
    <t>78+1 INF</t>
  </si>
  <si>
    <t>10+0 INF</t>
  </si>
  <si>
    <t>HA-LSB</t>
  </si>
  <si>
    <t>165+8 INF</t>
  </si>
  <si>
    <t>173+3 INF</t>
  </si>
  <si>
    <t>HA-LSB/HA-LWX</t>
  </si>
  <si>
    <t>CH</t>
  </si>
  <si>
    <t>47+1INF</t>
  </si>
  <si>
    <t>179+2INF</t>
  </si>
  <si>
    <t>67+1INF</t>
  </si>
  <si>
    <t>TC-FBR</t>
  </si>
  <si>
    <t>180+2INF</t>
  </si>
  <si>
    <t>125+1INF</t>
  </si>
  <si>
    <t>97+4INF</t>
  </si>
  <si>
    <t>47+2INF</t>
  </si>
  <si>
    <t>177+2 INF</t>
  </si>
  <si>
    <t>88+3 INF</t>
  </si>
  <si>
    <t>159+3 INF</t>
  </si>
  <si>
    <t>HA-LWX</t>
  </si>
  <si>
    <t>65+2INF</t>
  </si>
  <si>
    <t>96+2INF</t>
  </si>
  <si>
    <t>161+3INF</t>
  </si>
  <si>
    <t>180+1INF</t>
  </si>
  <si>
    <t>147+5INF</t>
  </si>
  <si>
    <t>56+1INF</t>
  </si>
  <si>
    <t>177+12INF</t>
  </si>
  <si>
    <t>177+0INF</t>
  </si>
  <si>
    <t>180+8INF</t>
  </si>
  <si>
    <t>167+5INF</t>
  </si>
  <si>
    <t>42+0INF</t>
  </si>
  <si>
    <t>168+2 INF</t>
  </si>
  <si>
    <t>162+3INF</t>
  </si>
  <si>
    <t>176+7INF</t>
  </si>
  <si>
    <t>137+0INF</t>
  </si>
  <si>
    <t>56+0INF</t>
  </si>
  <si>
    <t>HALWX</t>
  </si>
  <si>
    <t>83+2 INF</t>
  </si>
  <si>
    <t>51+1 INF</t>
  </si>
  <si>
    <t>95+7 INF</t>
  </si>
  <si>
    <t>122+1 INF</t>
  </si>
  <si>
    <t>45+1 INF</t>
  </si>
  <si>
    <t>176+3 INF</t>
  </si>
  <si>
    <t>123+0 INF</t>
  </si>
  <si>
    <t>151+6 INF</t>
  </si>
  <si>
    <t>157+4 INF</t>
  </si>
  <si>
    <t>TCFHY</t>
  </si>
  <si>
    <t>179+4INF</t>
  </si>
  <si>
    <t>103+1INF</t>
  </si>
  <si>
    <t>81+1INF</t>
  </si>
  <si>
    <t>176+6INF</t>
  </si>
  <si>
    <t>139+7INF</t>
  </si>
  <si>
    <t>174+5INF</t>
  </si>
  <si>
    <t>143+1INF</t>
  </si>
  <si>
    <t>38+0INF</t>
  </si>
  <si>
    <t>AIR SWISSLION</t>
  </si>
  <si>
    <t>BEG-TZL-TREBINJE</t>
  </si>
  <si>
    <t>AW109SP</t>
  </si>
  <si>
    <t>YU-HRD</t>
  </si>
  <si>
    <t>108+4 INF</t>
  </si>
  <si>
    <t>175+2 INF</t>
  </si>
  <si>
    <t>107+1 INF</t>
  </si>
  <si>
    <t>47+0 INF</t>
  </si>
  <si>
    <t>ODGOĐEN</t>
  </si>
  <si>
    <t>KTW-TZL</t>
  </si>
  <si>
    <t>HA-LYJ</t>
  </si>
  <si>
    <t>TF/FERRY IN</t>
  </si>
  <si>
    <t>W6809</t>
  </si>
  <si>
    <t>HELICOPTER</t>
  </si>
  <si>
    <t>62+0INF</t>
  </si>
  <si>
    <t>HA-LYO/HA-LPY</t>
  </si>
  <si>
    <t>106+INF</t>
  </si>
  <si>
    <t>FLYBOSNIA</t>
  </si>
  <si>
    <t>BUD-TZL-SJJ</t>
  </si>
  <si>
    <t>NONSCHEDULED</t>
  </si>
  <si>
    <t xml:space="preserve"> W6 1</t>
  </si>
  <si>
    <t>W6 2</t>
  </si>
  <si>
    <t>HFM331P</t>
  </si>
  <si>
    <t>177+3INF</t>
  </si>
  <si>
    <t>49+0INF</t>
  </si>
  <si>
    <t>SWISS AIR AMBULANCE</t>
  </si>
  <si>
    <t>ZRH-TZL-GVA</t>
  </si>
  <si>
    <t>CL-650</t>
  </si>
  <si>
    <t>HB-JWA</t>
  </si>
  <si>
    <t>SAZ51</t>
  </si>
  <si>
    <t>SAZ52</t>
  </si>
  <si>
    <t>FMM-TZL</t>
  </si>
  <si>
    <t>150+9INF</t>
  </si>
  <si>
    <t>178+4INF</t>
  </si>
  <si>
    <t>175+3INF</t>
  </si>
  <si>
    <t>150+3INF</t>
  </si>
  <si>
    <t>162+4INF</t>
  </si>
  <si>
    <t>TZL-KTW</t>
  </si>
  <si>
    <t>W6810</t>
  </si>
  <si>
    <t>HA-LPY</t>
  </si>
  <si>
    <t>11:15 </t>
  </si>
  <si>
    <t>12:00 </t>
  </si>
  <si>
    <t>16:40 </t>
  </si>
  <si>
    <t>75+2 INF</t>
  </si>
  <si>
    <t>170+4 INF</t>
  </si>
  <si>
    <t>178+1 INF</t>
  </si>
  <si>
    <t>35+1 INF</t>
  </si>
  <si>
    <t>88+0 INF</t>
  </si>
  <si>
    <t>163+3INF</t>
  </si>
  <si>
    <t>175+6INF</t>
  </si>
  <si>
    <t>70+1INF</t>
  </si>
  <si>
    <t>HALWX/HALYP</t>
  </si>
  <si>
    <t>60+1 INF</t>
  </si>
  <si>
    <t>180+5 INF</t>
  </si>
  <si>
    <t>73+0 INF</t>
  </si>
  <si>
    <t>172+8 INF</t>
  </si>
  <si>
    <t>162+3 INF</t>
  </si>
  <si>
    <t>180+4 INF</t>
  </si>
  <si>
    <t>141+5 INF</t>
  </si>
  <si>
    <t>80+1 INF</t>
  </si>
  <si>
    <t>122+4 INF</t>
  </si>
  <si>
    <t>180+6 INF</t>
  </si>
  <si>
    <t>170+6 INF</t>
  </si>
  <si>
    <t>HA-LYP</t>
  </si>
  <si>
    <t>137+2INF</t>
  </si>
  <si>
    <t>152+6INF</t>
  </si>
  <si>
    <t>170+6INF</t>
  </si>
  <si>
    <t>176+1INF</t>
  </si>
  <si>
    <t>171+6INF</t>
  </si>
  <si>
    <t>90+2INF</t>
  </si>
  <si>
    <t>170+3INF</t>
  </si>
  <si>
    <t>179+2 INF</t>
  </si>
  <si>
    <t>179+1 INF</t>
  </si>
  <si>
    <t>156+6 INF</t>
  </si>
  <si>
    <t>80+2 INF</t>
  </si>
  <si>
    <t>TZL-FDH-TZL</t>
  </si>
  <si>
    <t>W64616</t>
  </si>
  <si>
    <t>W64615</t>
  </si>
  <si>
    <t>88+2INF</t>
  </si>
  <si>
    <t>171+5INF</t>
  </si>
  <si>
    <t>171+7INF</t>
  </si>
  <si>
    <t>86+0INF</t>
  </si>
  <si>
    <t>46+2INF</t>
  </si>
  <si>
    <t>WESTAVIA</t>
  </si>
  <si>
    <t>MGL-TZL-QXH</t>
  </si>
  <si>
    <t>BE20</t>
  </si>
  <si>
    <t>D-IBAR</t>
  </si>
  <si>
    <t>169+3INF</t>
  </si>
  <si>
    <t>177+2INF</t>
  </si>
  <si>
    <t>143+3 INF</t>
  </si>
  <si>
    <t>118+4 INF</t>
  </si>
  <si>
    <t>174+4INF</t>
  </si>
  <si>
    <t>173+2INF</t>
  </si>
  <si>
    <t>HALPY</t>
  </si>
  <si>
    <t>HALYP</t>
  </si>
  <si>
    <t>68+2 INF</t>
  </si>
  <si>
    <t>58+1 INF</t>
  </si>
  <si>
    <t>174+0 INF</t>
  </si>
  <si>
    <t>141+6 INF</t>
  </si>
  <si>
    <t>128+0 INF</t>
  </si>
  <si>
    <t>65+5 INF</t>
  </si>
  <si>
    <t>176+3INF</t>
  </si>
  <si>
    <t>179+3INF</t>
  </si>
  <si>
    <t>175+5INF</t>
  </si>
  <si>
    <t>111+3INF</t>
  </si>
  <si>
    <t>180+7 INF</t>
  </si>
  <si>
    <t>TC-FHG</t>
  </si>
  <si>
    <t>113+0 INF</t>
  </si>
  <si>
    <t>70+0 INF</t>
  </si>
  <si>
    <t>178+7 INF</t>
  </si>
  <si>
    <t>143+5 INF</t>
  </si>
  <si>
    <t>137+3 INF</t>
  </si>
  <si>
    <t>176+6 INF</t>
  </si>
  <si>
    <t>50+1 INF</t>
  </si>
  <si>
    <t>139+2INF</t>
  </si>
  <si>
    <t>173+0INF</t>
  </si>
  <si>
    <t>54+0INF</t>
  </si>
  <si>
    <t>171+3INF</t>
  </si>
  <si>
    <t>164+5INF</t>
  </si>
  <si>
    <t>90+3 INF</t>
  </si>
  <si>
    <t>77+3 INF</t>
  </si>
  <si>
    <t>169+5INF</t>
  </si>
  <si>
    <t>151+4INF</t>
  </si>
  <si>
    <t>93+1 INF</t>
  </si>
  <si>
    <t>173+2 INF</t>
  </si>
  <si>
    <t>98+3 INF</t>
  </si>
  <si>
    <t>167+3 INF</t>
  </si>
  <si>
    <t>172+6 INF</t>
  </si>
  <si>
    <t>178+7INF</t>
  </si>
  <si>
    <t>165+6INF</t>
  </si>
  <si>
    <t>82+1INF</t>
  </si>
  <si>
    <t>173+5 INF</t>
  </si>
  <si>
    <t>144+5 INF</t>
  </si>
  <si>
    <t>160+3INF</t>
  </si>
  <si>
    <t>150+4 INF</t>
  </si>
  <si>
    <t>180+5INF</t>
  </si>
  <si>
    <t>154+3INF</t>
  </si>
  <si>
    <t>HELIMASTER</t>
  </si>
  <si>
    <t>TREBINJE-TZL-BEG</t>
  </si>
  <si>
    <t>Aw109sp</t>
  </si>
  <si>
    <t>HEL</t>
  </si>
  <si>
    <t>YUHRD</t>
  </si>
  <si>
    <t>TC-FHN</t>
  </si>
  <si>
    <t>177+3 INF</t>
  </si>
  <si>
    <t>138+4 INF</t>
  </si>
  <si>
    <t>96+1 INF</t>
  </si>
  <si>
    <t>164+2 INF</t>
  </si>
  <si>
    <t>FAI Rent a Jet</t>
  </si>
  <si>
    <t>ORBD-TZL-NUE</t>
  </si>
  <si>
    <t>CL60</t>
  </si>
  <si>
    <t>D-AFAB</t>
  </si>
  <si>
    <t>MEDEVAC</t>
  </si>
  <si>
    <t>IFA1208</t>
  </si>
  <si>
    <t>157+5 INF</t>
  </si>
  <si>
    <t>160+1 INF</t>
  </si>
  <si>
    <t>164+1INF</t>
  </si>
  <si>
    <t>157+3INF</t>
  </si>
  <si>
    <t>162+8INF</t>
  </si>
  <si>
    <t>HA-LWS</t>
  </si>
  <si>
    <t>REGA SWISS AIR AMBULANCE</t>
  </si>
  <si>
    <t>PRN-TZL-BRN</t>
  </si>
  <si>
    <t>CL650</t>
  </si>
  <si>
    <t>SAZ53</t>
  </si>
  <si>
    <t>1 TRANZIT</t>
  </si>
  <si>
    <t>148+2 INF</t>
  </si>
  <si>
    <t>171+6 INF</t>
  </si>
  <si>
    <t>175+5 INF</t>
  </si>
  <si>
    <t>174+7 INF</t>
  </si>
  <si>
    <t>139+0 INF</t>
  </si>
  <si>
    <t>178+8 INF</t>
  </si>
  <si>
    <t>165+1 INF</t>
  </si>
  <si>
    <t>120+1 INF</t>
  </si>
  <si>
    <t>170+2 INF</t>
  </si>
  <si>
    <t>151+0 INF</t>
  </si>
  <si>
    <t>OHD-TZL</t>
  </si>
  <si>
    <t>FERRY IN</t>
  </si>
  <si>
    <t>W6806</t>
  </si>
  <si>
    <t>W64681</t>
  </si>
  <si>
    <t>91+3 INF</t>
  </si>
  <si>
    <t>104+2 INF</t>
  </si>
  <si>
    <t>174+8INF</t>
  </si>
  <si>
    <t>146+3INF</t>
  </si>
  <si>
    <t>138+1 INF</t>
  </si>
  <si>
    <t>W64805</t>
  </si>
  <si>
    <t>CLJ-TZL</t>
  </si>
  <si>
    <t>156+3 INF</t>
  </si>
  <si>
    <t>178+5 INF</t>
  </si>
  <si>
    <t>163+1 INF</t>
  </si>
  <si>
    <t>HALWS</t>
  </si>
  <si>
    <t>TZL-CLJ</t>
  </si>
  <si>
    <t>W6803</t>
  </si>
  <si>
    <t>FERRY OUT</t>
  </si>
  <si>
    <t>157+0 INF</t>
  </si>
  <si>
    <t>82+2 INF</t>
  </si>
  <si>
    <t>179+3 INF</t>
  </si>
  <si>
    <t>164+1 INF</t>
  </si>
  <si>
    <t>149+4 INF</t>
  </si>
  <si>
    <t>142+3INF</t>
  </si>
  <si>
    <t>156+1 INF</t>
  </si>
  <si>
    <t>173+4INF</t>
  </si>
  <si>
    <t>HA-LWS/HA-LWB</t>
  </si>
  <si>
    <t>163+4INF</t>
  </si>
  <si>
    <t>HALWB</t>
  </si>
  <si>
    <t>130+1 INF</t>
  </si>
  <si>
    <t>141+1 INF</t>
  </si>
  <si>
    <t>159+1 INF</t>
  </si>
  <si>
    <t>163+10 INF</t>
  </si>
  <si>
    <t>162+4 INF</t>
  </si>
  <si>
    <t>180+9 INF</t>
  </si>
  <si>
    <t>86+0 INF</t>
  </si>
  <si>
    <t>150+6 INF</t>
  </si>
  <si>
    <t>132+2 INF</t>
  </si>
  <si>
    <t>AIR LINK LUFTVERKEHRS</t>
  </si>
  <si>
    <t>SZG-TZL-SZG</t>
  </si>
  <si>
    <t>SR22</t>
  </si>
  <si>
    <t>JAR18</t>
  </si>
  <si>
    <t>153+5 INF</t>
  </si>
  <si>
    <t>111+2INF</t>
  </si>
  <si>
    <t>H</t>
  </si>
  <si>
    <t>174+3INF</t>
  </si>
  <si>
    <t>HA-LWB</t>
  </si>
  <si>
    <t>137+2 INF</t>
  </si>
  <si>
    <t>141+3 INF</t>
  </si>
  <si>
    <t>154+4 INF</t>
  </si>
  <si>
    <t>137+8 INF</t>
  </si>
  <si>
    <t>57+1 INF</t>
  </si>
  <si>
    <t>147+2INF</t>
  </si>
  <si>
    <t>95+1INF</t>
  </si>
  <si>
    <t>PAD-TZL</t>
  </si>
  <si>
    <t>W6807</t>
  </si>
  <si>
    <t>HA-LPY/HA-LWG</t>
  </si>
  <si>
    <t>HA-LWG</t>
  </si>
  <si>
    <t>161+5INF</t>
  </si>
  <si>
    <t>169+5 INF</t>
  </si>
  <si>
    <t>BEG-TZL-TESLIC</t>
  </si>
  <si>
    <t>ROBINSIN R66</t>
  </si>
  <si>
    <t>YUHMS</t>
  </si>
  <si>
    <t>84+0 INF</t>
  </si>
  <si>
    <t>TESLIĆ-TZL-BEG</t>
  </si>
  <si>
    <t>AERODIENST GMBH</t>
  </si>
  <si>
    <t>KVO-TZL-FKB</t>
  </si>
  <si>
    <t>D328</t>
  </si>
  <si>
    <t>D-BADA</t>
  </si>
  <si>
    <t>ADN14A</t>
  </si>
  <si>
    <t>ADN12D</t>
  </si>
  <si>
    <t>2 TRANZIT</t>
  </si>
  <si>
    <t>173+4 INF</t>
  </si>
  <si>
    <t>165+2 INF</t>
  </si>
  <si>
    <t>145+5 INF</t>
  </si>
  <si>
    <t>172+5 INF</t>
  </si>
  <si>
    <t>136+1 INF</t>
  </si>
  <si>
    <t>173+1 INF</t>
  </si>
  <si>
    <t>113+1 INF</t>
  </si>
  <si>
    <t>175+1 INF</t>
  </si>
  <si>
    <t>158+1 INF</t>
  </si>
  <si>
    <t>170+5 INF</t>
  </si>
  <si>
    <t>121+1INF</t>
  </si>
  <si>
    <t>162+5INF</t>
  </si>
  <si>
    <t>176+4INF</t>
  </si>
  <si>
    <t>171+3 INF</t>
  </si>
  <si>
    <t>179+6 INF</t>
  </si>
  <si>
    <t>180+10 INF</t>
  </si>
  <si>
    <t>146+1 INF</t>
  </si>
  <si>
    <t>175+0 INF</t>
  </si>
  <si>
    <t>177+4 INF</t>
  </si>
  <si>
    <t>BRI-TZL</t>
  </si>
  <si>
    <t>9A-JSC</t>
  </si>
  <si>
    <t>JSY309C</t>
  </si>
  <si>
    <t>JSY017C</t>
  </si>
  <si>
    <t>97+6INF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</si>
</sst>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8"/>
      <color theme="1"/>
      <name val="Garamond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  <font>
      <sz val="10"/>
      <color theme="1" tint="0.499984740745262"/>
      <name val="Garamond"/>
      <family val="1"/>
      <charset val="238"/>
    </font>
    <font>
      <b/>
      <sz val="10"/>
      <name val="Garamond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32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20" fontId="3" fillId="2" borderId="0" xfId="0" applyNumberFormat="1" applyFont="1" applyFill="1" applyAlignment="1">
      <alignment horizontal="center"/>
    </xf>
    <xf numFmtId="20" fontId="6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3" fillId="0" borderId="0" xfId="0" applyNumberFormat="1" applyFont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20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/>
    </xf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O8" sqref="O8"/>
    </sheetView>
  </sheetViews>
  <sheetFormatPr defaultRowHeight="15" x14ac:dyDescent="0.25"/>
  <cols>
    <col min="3" max="3" width="12.7109375" customWidth="1"/>
    <col min="6" max="6" width="19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44378</v>
      </c>
      <c r="B2" s="3" t="s">
        <v>21</v>
      </c>
      <c r="C2" s="3" t="s">
        <v>36</v>
      </c>
      <c r="D2" s="3" t="s">
        <v>22</v>
      </c>
      <c r="E2" s="3" t="s">
        <v>37</v>
      </c>
      <c r="F2" s="3" t="s">
        <v>34</v>
      </c>
      <c r="G2" s="3">
        <v>70000</v>
      </c>
      <c r="H2" s="6"/>
      <c r="I2" s="3" t="s">
        <v>38</v>
      </c>
      <c r="J2" s="4">
        <v>0.3125</v>
      </c>
      <c r="K2" s="7"/>
      <c r="L2" s="4">
        <v>0.3125</v>
      </c>
      <c r="M2" s="5">
        <v>0.30972222222222223</v>
      </c>
      <c r="N2" s="6"/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44378</v>
      </c>
      <c r="B3" s="3" t="s">
        <v>21</v>
      </c>
      <c r="C3" s="3" t="s">
        <v>30</v>
      </c>
      <c r="D3" s="3" t="s">
        <v>22</v>
      </c>
      <c r="E3" s="3" t="s">
        <v>35</v>
      </c>
      <c r="F3" s="3" t="s">
        <v>23</v>
      </c>
      <c r="G3" s="3">
        <v>70000</v>
      </c>
      <c r="H3" s="3" t="s">
        <v>31</v>
      </c>
      <c r="I3" s="3" t="s">
        <v>32</v>
      </c>
      <c r="J3" s="4">
        <v>0.58680555555555558</v>
      </c>
      <c r="K3" s="5">
        <v>0.57291666666666663</v>
      </c>
      <c r="L3" s="4">
        <v>0.39583333333333331</v>
      </c>
      <c r="M3" s="5">
        <v>0.39652777777777781</v>
      </c>
      <c r="N3" s="3" t="s">
        <v>41</v>
      </c>
      <c r="O3" s="3" t="s">
        <v>42</v>
      </c>
      <c r="P3" s="3">
        <v>891</v>
      </c>
      <c r="Q3" s="3">
        <v>518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44378</v>
      </c>
      <c r="B4" s="3" t="s">
        <v>21</v>
      </c>
      <c r="C4" s="3" t="s">
        <v>24</v>
      </c>
      <c r="D4" s="3" t="s">
        <v>22</v>
      </c>
      <c r="E4" s="3" t="s">
        <v>33</v>
      </c>
      <c r="F4" s="3" t="s">
        <v>23</v>
      </c>
      <c r="G4" s="3">
        <v>70000</v>
      </c>
      <c r="H4" s="3" t="s">
        <v>25</v>
      </c>
      <c r="I4" s="3" t="s">
        <v>26</v>
      </c>
      <c r="J4" s="4">
        <v>0.66319444444444442</v>
      </c>
      <c r="K4" s="5">
        <v>0.65555555555555556</v>
      </c>
      <c r="L4" s="4">
        <v>0.49652777777777773</v>
      </c>
      <c r="M4" s="5">
        <v>0.5</v>
      </c>
      <c r="N4" s="3" t="s">
        <v>40</v>
      </c>
      <c r="O4" s="3" t="s">
        <v>43</v>
      </c>
      <c r="P4" s="3">
        <v>713</v>
      </c>
      <c r="Q4" s="3">
        <v>222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44378</v>
      </c>
      <c r="B5" s="3" t="s">
        <v>21</v>
      </c>
      <c r="C5" s="3" t="s">
        <v>27</v>
      </c>
      <c r="D5" s="3" t="s">
        <v>22</v>
      </c>
      <c r="E5" s="3" t="s">
        <v>33</v>
      </c>
      <c r="F5" s="3" t="s">
        <v>23</v>
      </c>
      <c r="G5" s="3">
        <v>70000</v>
      </c>
      <c r="H5" s="3" t="s">
        <v>28</v>
      </c>
      <c r="I5" s="3" t="s">
        <v>29</v>
      </c>
      <c r="J5" s="4">
        <v>0.84027777777777779</v>
      </c>
      <c r="K5" s="8">
        <v>0.87152777777777779</v>
      </c>
      <c r="L5" s="4">
        <v>0.69444444444444453</v>
      </c>
      <c r="M5" s="5">
        <v>0.69305555555555554</v>
      </c>
      <c r="N5" s="3" t="s">
        <v>40</v>
      </c>
      <c r="O5" s="3" t="s">
        <v>39</v>
      </c>
      <c r="P5" s="3">
        <v>872</v>
      </c>
      <c r="Q5" s="3">
        <v>438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25" sqref="F25"/>
    </sheetView>
  </sheetViews>
  <sheetFormatPr defaultRowHeight="15" x14ac:dyDescent="0.25"/>
  <cols>
    <col min="1" max="1" width="10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 t="s">
        <v>63</v>
      </c>
      <c r="B2" s="3" t="s">
        <v>21</v>
      </c>
      <c r="C2" s="3" t="s">
        <v>44</v>
      </c>
      <c r="D2" s="3" t="s">
        <v>22</v>
      </c>
      <c r="E2" s="3" t="s">
        <v>45</v>
      </c>
      <c r="F2" s="3" t="s">
        <v>23</v>
      </c>
      <c r="G2" s="3">
        <v>70000</v>
      </c>
      <c r="H2" s="3" t="s">
        <v>46</v>
      </c>
      <c r="I2" s="3" t="s">
        <v>47</v>
      </c>
      <c r="J2" s="5">
        <v>0.45833333333333331</v>
      </c>
      <c r="K2" s="5">
        <v>0.45347222222222222</v>
      </c>
      <c r="L2" s="5">
        <v>0.25694444444444448</v>
      </c>
      <c r="M2" s="5">
        <v>0.26041666666666669</v>
      </c>
      <c r="N2" s="3" t="s">
        <v>68</v>
      </c>
      <c r="O2" s="3" t="s">
        <v>71</v>
      </c>
      <c r="P2" s="3">
        <v>1690</v>
      </c>
      <c r="Q2" s="3">
        <v>382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44379</v>
      </c>
      <c r="B3" s="3" t="s">
        <v>21</v>
      </c>
      <c r="C3" s="3" t="s">
        <v>64</v>
      </c>
      <c r="D3" s="3" t="s">
        <v>22</v>
      </c>
      <c r="E3" s="3" t="s">
        <v>65</v>
      </c>
      <c r="F3" s="3" t="s">
        <v>23</v>
      </c>
      <c r="G3" s="3">
        <v>70000</v>
      </c>
      <c r="H3" s="3" t="s">
        <v>66</v>
      </c>
      <c r="I3" s="3" t="s">
        <v>67</v>
      </c>
      <c r="J3" s="5">
        <v>0.4375</v>
      </c>
      <c r="K3" s="5">
        <v>0.44861111111111113</v>
      </c>
      <c r="L3" s="5">
        <v>0.27083333333333331</v>
      </c>
      <c r="M3" s="5">
        <v>0.2722222222222222</v>
      </c>
      <c r="N3" s="3" t="s">
        <v>69</v>
      </c>
      <c r="O3" s="3" t="s">
        <v>72</v>
      </c>
      <c r="P3" s="3">
        <v>1138</v>
      </c>
      <c r="Q3" s="3">
        <v>297</v>
      </c>
      <c r="R3" s="3">
        <v>0</v>
      </c>
      <c r="S3" s="3">
        <v>0</v>
      </c>
      <c r="T3" s="3">
        <v>0</v>
      </c>
      <c r="U3" s="3">
        <v>0</v>
      </c>
      <c r="V3" s="3"/>
    </row>
    <row r="4" spans="1:22" x14ac:dyDescent="0.25">
      <c r="A4" s="2">
        <v>44379</v>
      </c>
      <c r="B4" s="3" t="s">
        <v>21</v>
      </c>
      <c r="C4" s="3" t="s">
        <v>48</v>
      </c>
      <c r="D4" s="3" t="s">
        <v>22</v>
      </c>
      <c r="E4" s="3" t="s">
        <v>65</v>
      </c>
      <c r="F4" s="3" t="s">
        <v>23</v>
      </c>
      <c r="G4" s="3">
        <v>70000</v>
      </c>
      <c r="H4" s="3" t="s">
        <v>49</v>
      </c>
      <c r="I4" s="3" t="s">
        <v>50</v>
      </c>
      <c r="J4" s="5">
        <v>0.90277777777777779</v>
      </c>
      <c r="K4" s="5">
        <v>0.9145833333333333</v>
      </c>
      <c r="L4" s="5">
        <v>0.46875</v>
      </c>
      <c r="M4" s="5">
        <v>0.48958333333333331</v>
      </c>
      <c r="N4" s="3" t="s">
        <v>77</v>
      </c>
      <c r="O4" s="3" t="s">
        <v>74</v>
      </c>
      <c r="P4" s="3">
        <v>1267</v>
      </c>
      <c r="Q4" s="3">
        <v>1993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44379</v>
      </c>
      <c r="B5" s="3" t="s">
        <v>21</v>
      </c>
      <c r="C5" s="3" t="s">
        <v>51</v>
      </c>
      <c r="D5" s="3" t="s">
        <v>22</v>
      </c>
      <c r="E5" s="3" t="s">
        <v>45</v>
      </c>
      <c r="F5" s="3" t="s">
        <v>23</v>
      </c>
      <c r="G5" s="3">
        <v>70000</v>
      </c>
      <c r="H5" s="3" t="s">
        <v>52</v>
      </c>
      <c r="I5" s="3" t="s">
        <v>53</v>
      </c>
      <c r="J5" s="5">
        <v>0.71875</v>
      </c>
      <c r="K5" s="5">
        <v>0.71875</v>
      </c>
      <c r="L5" s="5">
        <v>0.48958333333333331</v>
      </c>
      <c r="M5" s="5">
        <v>0.49305555555555558</v>
      </c>
      <c r="N5" s="3" t="s">
        <v>70</v>
      </c>
      <c r="O5" s="3" t="s">
        <v>75</v>
      </c>
      <c r="P5" s="3">
        <v>1616</v>
      </c>
      <c r="Q5" s="3">
        <v>770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44379</v>
      </c>
      <c r="B6" s="3" t="s">
        <v>21</v>
      </c>
      <c r="C6" s="3" t="s">
        <v>54</v>
      </c>
      <c r="D6" s="3" t="s">
        <v>22</v>
      </c>
      <c r="E6" s="3" t="s">
        <v>45</v>
      </c>
      <c r="F6" s="3" t="s">
        <v>23</v>
      </c>
      <c r="G6" s="3">
        <v>70000</v>
      </c>
      <c r="H6" s="3" t="s">
        <v>55</v>
      </c>
      <c r="I6" s="3" t="s">
        <v>56</v>
      </c>
      <c r="J6" s="5">
        <v>0.92013888888888884</v>
      </c>
      <c r="K6" s="5">
        <v>0.90972222222222221</v>
      </c>
      <c r="L6" s="5">
        <v>0.73958333333333337</v>
      </c>
      <c r="M6" s="5">
        <v>0.74652777777777779</v>
      </c>
      <c r="N6" s="3" t="s">
        <v>78</v>
      </c>
      <c r="O6" s="3" t="s">
        <v>76</v>
      </c>
      <c r="P6" s="3">
        <v>853</v>
      </c>
      <c r="Q6" s="3">
        <v>441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2">
        <v>44379</v>
      </c>
      <c r="B7" s="3" t="s">
        <v>57</v>
      </c>
      <c r="C7" s="3" t="s">
        <v>58</v>
      </c>
      <c r="D7" s="3" t="s">
        <v>22</v>
      </c>
      <c r="E7" s="3" t="s">
        <v>59</v>
      </c>
      <c r="F7" s="3" t="s">
        <v>60</v>
      </c>
      <c r="G7" s="3">
        <v>77000</v>
      </c>
      <c r="H7" s="3" t="s">
        <v>61</v>
      </c>
      <c r="I7" s="3" t="s">
        <v>62</v>
      </c>
      <c r="J7" s="5">
        <v>0.3298611111111111</v>
      </c>
      <c r="K7" s="5">
        <v>0.32083333333333336</v>
      </c>
      <c r="L7" s="5">
        <v>0.37152777777777773</v>
      </c>
      <c r="M7" s="5">
        <v>0.36944444444444446</v>
      </c>
      <c r="N7" s="3" t="s">
        <v>70</v>
      </c>
      <c r="O7" s="3" t="s">
        <v>73</v>
      </c>
      <c r="P7" s="3">
        <v>2332</v>
      </c>
      <c r="Q7" s="3"/>
      <c r="R7" s="3">
        <v>0</v>
      </c>
      <c r="S7" s="3">
        <v>0</v>
      </c>
      <c r="T7" s="3">
        <v>0</v>
      </c>
      <c r="U7" s="3">
        <v>0</v>
      </c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sqref="A1:U7"/>
    </sheetView>
  </sheetViews>
  <sheetFormatPr defaultRowHeight="15" x14ac:dyDescent="0.25"/>
  <cols>
    <col min="3" max="3" width="23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44258</v>
      </c>
      <c r="B2" s="10" t="s">
        <v>21</v>
      </c>
      <c r="C2" s="10" t="s">
        <v>24</v>
      </c>
      <c r="D2" s="10" t="s">
        <v>22</v>
      </c>
      <c r="E2" s="10" t="s">
        <v>45</v>
      </c>
      <c r="F2" s="10" t="s">
        <v>23</v>
      </c>
      <c r="G2" s="10">
        <v>70000</v>
      </c>
      <c r="H2" s="10" t="s">
        <v>25</v>
      </c>
      <c r="I2" s="10" t="s">
        <v>26</v>
      </c>
      <c r="J2" s="11">
        <v>0.4375</v>
      </c>
      <c r="K2" s="12">
        <v>0.44097222222222227</v>
      </c>
      <c r="L2" s="11">
        <v>0.27083333333333331</v>
      </c>
      <c r="M2" s="12">
        <v>0.26874999999999999</v>
      </c>
      <c r="N2" s="10" t="s">
        <v>91</v>
      </c>
      <c r="O2" s="10" t="s">
        <v>89</v>
      </c>
      <c r="P2" s="10">
        <v>1645</v>
      </c>
      <c r="Q2" s="10">
        <v>413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44258</v>
      </c>
      <c r="B3" s="10" t="s">
        <v>21</v>
      </c>
      <c r="C3" s="10" t="s">
        <v>79</v>
      </c>
      <c r="D3" s="10" t="s">
        <v>22</v>
      </c>
      <c r="E3" s="10" t="s">
        <v>35</v>
      </c>
      <c r="F3" s="10" t="s">
        <v>23</v>
      </c>
      <c r="G3" s="10">
        <v>70000</v>
      </c>
      <c r="H3" s="10" t="s">
        <v>80</v>
      </c>
      <c r="I3" s="10" t="s">
        <v>81</v>
      </c>
      <c r="J3" s="11">
        <v>0.57291666666666663</v>
      </c>
      <c r="K3" s="12">
        <v>0.57986111111111105</v>
      </c>
      <c r="L3" s="11">
        <v>0.39583333333333331</v>
      </c>
      <c r="M3" s="12">
        <v>0.40138888888888885</v>
      </c>
      <c r="N3" s="10" t="s">
        <v>93</v>
      </c>
      <c r="O3" s="10" t="s">
        <v>90</v>
      </c>
      <c r="P3" s="10">
        <v>1631</v>
      </c>
      <c r="Q3" s="10">
        <v>1050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44258</v>
      </c>
      <c r="B4" s="10" t="s">
        <v>21</v>
      </c>
      <c r="C4" s="10" t="s">
        <v>82</v>
      </c>
      <c r="D4" s="10" t="s">
        <v>22</v>
      </c>
      <c r="E4" s="10" t="s">
        <v>45</v>
      </c>
      <c r="F4" s="10" t="s">
        <v>23</v>
      </c>
      <c r="G4" s="10">
        <v>70000</v>
      </c>
      <c r="H4" s="10" t="s">
        <v>83</v>
      </c>
      <c r="I4" s="10" t="s">
        <v>84</v>
      </c>
      <c r="J4" s="11">
        <v>0.67361111111111116</v>
      </c>
      <c r="K4" s="12">
        <v>0.6791666666666667</v>
      </c>
      <c r="L4" s="11">
        <v>0.46875</v>
      </c>
      <c r="M4" s="12">
        <v>0.47152777777777777</v>
      </c>
      <c r="N4" s="10" t="s">
        <v>95</v>
      </c>
      <c r="O4" s="10" t="s">
        <v>92</v>
      </c>
      <c r="P4" s="10">
        <v>1138</v>
      </c>
      <c r="Q4" s="10">
        <v>420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9">
        <v>44258</v>
      </c>
      <c r="B5" s="10" t="s">
        <v>21</v>
      </c>
      <c r="C5" s="10" t="s">
        <v>27</v>
      </c>
      <c r="D5" s="10" t="s">
        <v>22</v>
      </c>
      <c r="E5" s="10" t="s">
        <v>35</v>
      </c>
      <c r="F5" s="10" t="s">
        <v>23</v>
      </c>
      <c r="G5" s="10">
        <v>70000</v>
      </c>
      <c r="H5" s="10" t="s">
        <v>28</v>
      </c>
      <c r="I5" s="10" t="s">
        <v>29</v>
      </c>
      <c r="J5" s="11">
        <v>0.95486111111111116</v>
      </c>
      <c r="K5" s="12">
        <v>0.98888888888888893</v>
      </c>
      <c r="L5" s="11">
        <v>0.60069444444444442</v>
      </c>
      <c r="M5" s="12">
        <v>0.62013888888888891</v>
      </c>
      <c r="N5" s="10" t="s">
        <v>96</v>
      </c>
      <c r="O5" s="10" t="s">
        <v>97</v>
      </c>
      <c r="P5" s="10">
        <v>1304</v>
      </c>
      <c r="Q5" s="10">
        <v>938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9">
        <v>44258</v>
      </c>
      <c r="B6" s="10" t="s">
        <v>21</v>
      </c>
      <c r="C6" s="10" t="s">
        <v>85</v>
      </c>
      <c r="D6" s="10" t="s">
        <v>22</v>
      </c>
      <c r="E6" s="10" t="s">
        <v>45</v>
      </c>
      <c r="F6" s="10" t="s">
        <v>23</v>
      </c>
      <c r="G6" s="10">
        <v>70000</v>
      </c>
      <c r="H6" s="10" t="s">
        <v>86</v>
      </c>
      <c r="I6" s="10" t="s">
        <v>87</v>
      </c>
      <c r="J6" s="11">
        <v>0.90972222222222221</v>
      </c>
      <c r="K6" s="12" t="s">
        <v>94</v>
      </c>
      <c r="L6" s="11">
        <v>0.69444444444444453</v>
      </c>
      <c r="M6" s="12">
        <v>0.7104166666666667</v>
      </c>
      <c r="N6" s="10" t="s">
        <v>94</v>
      </c>
      <c r="O6" s="10" t="s">
        <v>98</v>
      </c>
      <c r="P6" s="10"/>
      <c r="Q6" s="10">
        <v>272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5">
      <c r="E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5"/>
    </sheetView>
  </sheetViews>
  <sheetFormatPr defaultRowHeight="15" x14ac:dyDescent="0.25"/>
  <cols>
    <col min="3" max="3" width="12.28515625" customWidth="1"/>
    <col min="6" max="6" width="17.140625" customWidth="1"/>
    <col min="9" max="9" width="9.42578125" customWidth="1"/>
    <col min="14" max="14" width="10.7109375" customWidth="1"/>
    <col min="15" max="15" width="1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44381</v>
      </c>
      <c r="B2" s="10" t="s">
        <v>21</v>
      </c>
      <c r="C2" s="10" t="s">
        <v>99</v>
      </c>
      <c r="D2" s="10" t="s">
        <v>22</v>
      </c>
      <c r="E2" s="10" t="s">
        <v>65</v>
      </c>
      <c r="F2" s="10" t="s">
        <v>23</v>
      </c>
      <c r="G2" s="10">
        <v>70000</v>
      </c>
      <c r="H2" s="10" t="s">
        <v>106</v>
      </c>
      <c r="I2" s="10" t="s">
        <v>102</v>
      </c>
      <c r="J2" s="11">
        <v>0.70486111111111116</v>
      </c>
      <c r="K2" s="12">
        <v>0.6972222222222223</v>
      </c>
      <c r="L2" s="11">
        <v>0.46875</v>
      </c>
      <c r="M2" s="12">
        <v>0.46666666666666662</v>
      </c>
      <c r="N2" s="10" t="s">
        <v>108</v>
      </c>
      <c r="O2" s="10" t="s">
        <v>42</v>
      </c>
      <c r="P2" s="10">
        <v>1621</v>
      </c>
      <c r="Q2" s="10">
        <v>571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44381</v>
      </c>
      <c r="B3" s="10" t="s">
        <v>21</v>
      </c>
      <c r="C3" s="10" t="s">
        <v>100</v>
      </c>
      <c r="D3" s="10" t="s">
        <v>22</v>
      </c>
      <c r="E3" s="10" t="s">
        <v>45</v>
      </c>
      <c r="F3" s="10" t="s">
        <v>23</v>
      </c>
      <c r="G3" s="10">
        <v>70000</v>
      </c>
      <c r="H3" s="10" t="s">
        <v>86</v>
      </c>
      <c r="I3" s="10" t="s">
        <v>103</v>
      </c>
      <c r="J3" s="11">
        <v>0.59722222222222221</v>
      </c>
      <c r="K3" s="12">
        <v>0.61944444444444446</v>
      </c>
      <c r="L3" s="11" t="s">
        <v>103</v>
      </c>
      <c r="M3" s="11" t="s">
        <v>103</v>
      </c>
      <c r="N3" s="10" t="s">
        <v>107</v>
      </c>
      <c r="O3" s="10" t="s">
        <v>103</v>
      </c>
      <c r="P3" s="10">
        <v>2267</v>
      </c>
      <c r="Q3" s="10" t="s">
        <v>103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44381</v>
      </c>
      <c r="B4" s="10" t="s">
        <v>21</v>
      </c>
      <c r="C4" s="10" t="s">
        <v>30</v>
      </c>
      <c r="D4" s="10" t="s">
        <v>22</v>
      </c>
      <c r="E4" s="10" t="s">
        <v>45</v>
      </c>
      <c r="F4" s="10" t="s">
        <v>23</v>
      </c>
      <c r="G4" s="10">
        <v>70000</v>
      </c>
      <c r="H4" s="10" t="s">
        <v>31</v>
      </c>
      <c r="I4" s="10" t="s">
        <v>32</v>
      </c>
      <c r="J4" s="11">
        <v>0.90625</v>
      </c>
      <c r="K4" s="12">
        <v>0.90763888888888899</v>
      </c>
      <c r="L4" s="11">
        <v>0.71527777777777779</v>
      </c>
      <c r="M4" s="12">
        <v>0.72916666666666663</v>
      </c>
      <c r="N4" s="10" t="s">
        <v>111</v>
      </c>
      <c r="O4" s="10" t="s">
        <v>109</v>
      </c>
      <c r="P4" s="10">
        <v>1588</v>
      </c>
      <c r="Q4" s="10">
        <v>1008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9">
        <v>44381</v>
      </c>
      <c r="B5" s="10" t="s">
        <v>21</v>
      </c>
      <c r="C5" s="10" t="s">
        <v>101</v>
      </c>
      <c r="D5" s="10" t="s">
        <v>22</v>
      </c>
      <c r="E5" s="10" t="s">
        <v>65</v>
      </c>
      <c r="F5" s="10" t="s">
        <v>23</v>
      </c>
      <c r="G5" s="10">
        <v>70000</v>
      </c>
      <c r="H5" s="10" t="s">
        <v>105</v>
      </c>
      <c r="I5" s="10" t="s">
        <v>104</v>
      </c>
      <c r="J5" s="11">
        <v>0.94097222222222221</v>
      </c>
      <c r="K5" s="12">
        <v>0.93611111111111101</v>
      </c>
      <c r="L5" s="11">
        <v>0.72569444444444453</v>
      </c>
      <c r="M5" s="12">
        <v>0.7319444444444444</v>
      </c>
      <c r="N5" s="10" t="s">
        <v>112</v>
      </c>
      <c r="O5" s="10" t="s">
        <v>110</v>
      </c>
      <c r="P5" s="10">
        <v>1418</v>
      </c>
      <c r="Q5" s="10">
        <v>208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9"/>
      <c r="B6" s="10"/>
      <c r="C6" s="10"/>
      <c r="D6" s="10"/>
      <c r="E6" s="10"/>
      <c r="F6" s="10"/>
      <c r="G6" s="10"/>
      <c r="H6" s="10"/>
      <c r="I6" s="10"/>
      <c r="J6" s="11"/>
      <c r="K6" s="12"/>
      <c r="L6" s="11"/>
      <c r="M6" s="12"/>
      <c r="N6" s="10"/>
      <c r="O6" s="10"/>
      <c r="P6" s="10"/>
      <c r="Q6" s="10"/>
      <c r="R6" s="10"/>
      <c r="S6" s="10"/>
      <c r="T6" s="10"/>
      <c r="U6" s="10"/>
    </row>
    <row r="7" spans="1:21" x14ac:dyDescent="0.25">
      <c r="E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activeCell="A7" sqref="A7:T7"/>
    </sheetView>
  </sheetViews>
  <sheetFormatPr defaultRowHeight="15" x14ac:dyDescent="0.25"/>
  <cols>
    <col min="1" max="1" width="10.140625" bestFit="1" customWidth="1"/>
    <col min="3" max="3" width="13.7109375" bestFit="1" customWidth="1"/>
    <col min="6" max="6" width="2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44382</v>
      </c>
      <c r="B2" s="10" t="s">
        <v>21</v>
      </c>
      <c r="C2" s="10" t="s">
        <v>44</v>
      </c>
      <c r="D2" s="10" t="s">
        <v>22</v>
      </c>
      <c r="E2" s="10" t="s">
        <v>35</v>
      </c>
      <c r="F2" s="10" t="s">
        <v>23</v>
      </c>
      <c r="G2" s="10">
        <v>70000</v>
      </c>
      <c r="H2" s="10" t="s">
        <v>46</v>
      </c>
      <c r="I2" s="10" t="s">
        <v>47</v>
      </c>
      <c r="J2" s="11">
        <v>0.45833333333333331</v>
      </c>
      <c r="K2" s="12">
        <v>0.45555555555555555</v>
      </c>
      <c r="L2" s="11">
        <v>0.25694444444444448</v>
      </c>
      <c r="M2" s="12">
        <v>0.25277777777777777</v>
      </c>
      <c r="N2" s="10" t="s">
        <v>114</v>
      </c>
      <c r="O2" s="10" t="s">
        <v>113</v>
      </c>
      <c r="P2" s="10">
        <v>1715</v>
      </c>
      <c r="Q2" s="10">
        <v>519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9">
        <v>44382</v>
      </c>
      <c r="B3" s="10" t="s">
        <v>21</v>
      </c>
      <c r="C3" s="10" t="s">
        <v>48</v>
      </c>
      <c r="D3" s="10" t="s">
        <v>22</v>
      </c>
      <c r="E3" s="10" t="s">
        <v>33</v>
      </c>
      <c r="F3" s="10" t="s">
        <v>23</v>
      </c>
      <c r="G3" s="10">
        <v>70000</v>
      </c>
      <c r="H3" s="10" t="s">
        <v>49</v>
      </c>
      <c r="I3" s="10" t="s">
        <v>50</v>
      </c>
      <c r="J3" s="11">
        <v>0.90277777777777779</v>
      </c>
      <c r="K3" s="12">
        <v>0.91388888888888886</v>
      </c>
      <c r="L3" s="11">
        <v>0.46875</v>
      </c>
      <c r="M3" s="12">
        <v>0.47569444444444442</v>
      </c>
      <c r="N3" s="10" t="s">
        <v>129</v>
      </c>
      <c r="O3" s="10" t="s">
        <v>115</v>
      </c>
      <c r="P3" s="10">
        <v>1077</v>
      </c>
      <c r="Q3" s="10">
        <v>601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9">
        <v>44382</v>
      </c>
      <c r="B4" s="10" t="s">
        <v>21</v>
      </c>
      <c r="C4" s="10" t="s">
        <v>51</v>
      </c>
      <c r="D4" s="10" t="s">
        <v>22</v>
      </c>
      <c r="E4" s="10" t="str">
        <f>E2</f>
        <v>HA-LWZ</v>
      </c>
      <c r="F4" s="10" t="s">
        <v>23</v>
      </c>
      <c r="G4" s="10">
        <v>70000</v>
      </c>
      <c r="H4" s="10" t="s">
        <v>52</v>
      </c>
      <c r="I4" s="10" t="s">
        <v>53</v>
      </c>
      <c r="J4" s="11">
        <v>0.71875</v>
      </c>
      <c r="K4" s="12">
        <v>0.7284722222222223</v>
      </c>
      <c r="L4" s="11">
        <v>0.48958333333333331</v>
      </c>
      <c r="M4" s="12">
        <v>0.48888888888888887</v>
      </c>
      <c r="N4" s="10" t="s">
        <v>130</v>
      </c>
      <c r="O4" s="10" t="s">
        <v>116</v>
      </c>
      <c r="P4" s="10">
        <v>1681</v>
      </c>
      <c r="Q4" s="10">
        <v>374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9">
        <v>44382</v>
      </c>
      <c r="B5" s="10" t="s">
        <v>21</v>
      </c>
      <c r="C5" s="10" t="s">
        <v>54</v>
      </c>
      <c r="D5" s="10" t="s">
        <v>22</v>
      </c>
      <c r="E5" s="10" t="str">
        <f>E4</f>
        <v>HA-LWZ</v>
      </c>
      <c r="F5" s="10" t="s">
        <v>23</v>
      </c>
      <c r="G5" s="10">
        <v>70000</v>
      </c>
      <c r="H5" s="10" t="s">
        <v>55</v>
      </c>
      <c r="I5" s="10" t="s">
        <v>56</v>
      </c>
      <c r="J5" s="4">
        <v>0.92013888888888884</v>
      </c>
      <c r="K5" s="5">
        <v>0.93055555555555547</v>
      </c>
      <c r="L5" s="4">
        <v>0.73958333333333337</v>
      </c>
      <c r="M5" s="5">
        <v>0.75694444444444453</v>
      </c>
      <c r="N5" s="3" t="s">
        <v>132</v>
      </c>
      <c r="O5" s="3" t="s">
        <v>131</v>
      </c>
      <c r="P5" s="3">
        <v>1183</v>
      </c>
      <c r="Q5" s="3">
        <v>487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9">
        <v>44382</v>
      </c>
      <c r="B6" s="10" t="s">
        <v>117</v>
      </c>
      <c r="C6" s="3" t="s">
        <v>118</v>
      </c>
      <c r="D6" s="10" t="s">
        <v>119</v>
      </c>
      <c r="E6" s="10" t="s">
        <v>120</v>
      </c>
      <c r="F6" s="10" t="s">
        <v>127</v>
      </c>
      <c r="G6" s="10">
        <v>6000</v>
      </c>
      <c r="H6" s="11" t="s">
        <v>121</v>
      </c>
      <c r="I6" s="12" t="s">
        <v>122</v>
      </c>
      <c r="J6" s="11">
        <v>0.41666666666666669</v>
      </c>
      <c r="K6" s="12">
        <v>0.43541666666666662</v>
      </c>
      <c r="L6" s="12">
        <v>0.45833333333333331</v>
      </c>
      <c r="M6" s="12">
        <v>0.4548611111111111</v>
      </c>
      <c r="N6" s="3">
        <v>0</v>
      </c>
      <c r="O6" s="10">
        <v>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9">
        <v>44382</v>
      </c>
      <c r="B7" s="10" t="s">
        <v>123</v>
      </c>
      <c r="C7" s="10" t="s">
        <v>124</v>
      </c>
      <c r="D7" s="10" t="s">
        <v>125</v>
      </c>
      <c r="E7" s="10" t="s">
        <v>126</v>
      </c>
      <c r="F7" s="10" t="s">
        <v>34</v>
      </c>
      <c r="G7" s="10">
        <v>93000</v>
      </c>
      <c r="H7" s="10"/>
      <c r="I7" s="10"/>
      <c r="J7" s="12">
        <v>0.46527777777777773</v>
      </c>
      <c r="K7" s="12">
        <v>0.47222222222222227</v>
      </c>
      <c r="L7" s="10" t="s">
        <v>128</v>
      </c>
      <c r="M7" s="3" t="s">
        <v>128</v>
      </c>
      <c r="N7" s="3">
        <v>0</v>
      </c>
      <c r="O7" s="3">
        <v>0</v>
      </c>
      <c r="P7" s="3">
        <v>0</v>
      </c>
      <c r="Q7" s="10">
        <v>0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5" sqref="A5:U5"/>
    </sheetView>
  </sheetViews>
  <sheetFormatPr defaultRowHeight="15" x14ac:dyDescent="0.25"/>
  <cols>
    <col min="1" max="1" width="10.140625" bestFit="1" customWidth="1"/>
    <col min="3" max="3" width="13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44383</v>
      </c>
      <c r="B2" s="3" t="s">
        <v>133</v>
      </c>
      <c r="C2" s="3" t="s">
        <v>134</v>
      </c>
      <c r="D2" s="3" t="s">
        <v>22</v>
      </c>
      <c r="E2" s="3" t="s">
        <v>33</v>
      </c>
      <c r="F2" s="3" t="s">
        <v>23</v>
      </c>
      <c r="G2" s="14">
        <v>70000</v>
      </c>
      <c r="H2" s="3" t="s">
        <v>135</v>
      </c>
      <c r="I2" s="3" t="s">
        <v>136</v>
      </c>
      <c r="J2" s="5">
        <v>0.375</v>
      </c>
      <c r="K2" s="5">
        <v>0.37361111111111112</v>
      </c>
      <c r="L2" s="5">
        <v>0.25694444444444448</v>
      </c>
      <c r="M2" s="5">
        <v>0.25833333333333336</v>
      </c>
      <c r="N2" s="13" t="s">
        <v>142</v>
      </c>
      <c r="O2" s="3" t="s">
        <v>72</v>
      </c>
      <c r="P2" s="3">
        <v>810</v>
      </c>
      <c r="Q2" s="3">
        <v>252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44383</v>
      </c>
      <c r="B3" s="3" t="s">
        <v>133</v>
      </c>
      <c r="C3" s="3" t="s">
        <v>137</v>
      </c>
      <c r="D3" s="3" t="s">
        <v>22</v>
      </c>
      <c r="E3" s="3" t="s">
        <v>35</v>
      </c>
      <c r="F3" s="3" t="s">
        <v>23</v>
      </c>
      <c r="G3" s="14">
        <v>70000</v>
      </c>
      <c r="H3" s="3" t="s">
        <v>83</v>
      </c>
      <c r="I3" s="3" t="s">
        <v>84</v>
      </c>
      <c r="J3" s="5">
        <v>0.52083333333333337</v>
      </c>
      <c r="K3" s="5">
        <v>0.52083333333333337</v>
      </c>
      <c r="L3" s="5">
        <v>0.31944444444444448</v>
      </c>
      <c r="M3" s="5">
        <v>0.31875000000000003</v>
      </c>
      <c r="N3" s="3" t="s">
        <v>143</v>
      </c>
      <c r="O3" s="3" t="s">
        <v>141</v>
      </c>
      <c r="P3" s="3">
        <v>1188</v>
      </c>
      <c r="Q3" s="3">
        <v>202</v>
      </c>
      <c r="R3" s="3">
        <v>0</v>
      </c>
      <c r="S3" s="15">
        <v>0</v>
      </c>
      <c r="T3" s="15">
        <v>0</v>
      </c>
      <c r="U3" s="15">
        <v>0</v>
      </c>
    </row>
    <row r="4" spans="1:21" x14ac:dyDescent="0.25">
      <c r="A4" s="2">
        <v>44383</v>
      </c>
      <c r="B4" s="3" t="s">
        <v>57</v>
      </c>
      <c r="C4" s="3" t="s">
        <v>58</v>
      </c>
      <c r="D4" s="3" t="s">
        <v>22</v>
      </c>
      <c r="E4" s="3" t="s">
        <v>139</v>
      </c>
      <c r="F4" s="3" t="s">
        <v>140</v>
      </c>
      <c r="G4" s="14">
        <v>77000</v>
      </c>
      <c r="H4" s="3" t="s">
        <v>61</v>
      </c>
      <c r="I4" s="3" t="s">
        <v>62</v>
      </c>
      <c r="J4" s="5">
        <v>0.3298611111111111</v>
      </c>
      <c r="K4" s="5">
        <v>0.32500000000000001</v>
      </c>
      <c r="L4" s="5">
        <v>0.37152777777777773</v>
      </c>
      <c r="M4" s="5">
        <v>0.37986111111111115</v>
      </c>
      <c r="N4" s="3" t="s">
        <v>144</v>
      </c>
      <c r="O4" s="3" t="s">
        <v>145</v>
      </c>
      <c r="P4" s="3">
        <v>2282</v>
      </c>
      <c r="Q4" s="3">
        <v>2024</v>
      </c>
      <c r="R4" s="3">
        <v>0</v>
      </c>
      <c r="S4" s="15">
        <v>0</v>
      </c>
      <c r="T4" s="15">
        <v>0</v>
      </c>
      <c r="U4" s="15">
        <v>0</v>
      </c>
    </row>
    <row r="5" spans="1:21" x14ac:dyDescent="0.25">
      <c r="A5" s="2">
        <v>44383</v>
      </c>
      <c r="B5" s="3" t="s">
        <v>133</v>
      </c>
      <c r="C5" s="3" t="s">
        <v>138</v>
      </c>
      <c r="D5" s="3" t="s">
        <v>22</v>
      </c>
      <c r="E5" s="3" t="s">
        <v>33</v>
      </c>
      <c r="F5" s="3" t="s">
        <v>23</v>
      </c>
      <c r="G5" s="14">
        <v>70000</v>
      </c>
      <c r="H5" s="3" t="s">
        <v>80</v>
      </c>
      <c r="I5" s="3" t="s">
        <v>81</v>
      </c>
      <c r="J5" s="5">
        <v>0.57291666666666663</v>
      </c>
      <c r="K5" s="5">
        <v>0.58958333333333335</v>
      </c>
      <c r="L5" s="5">
        <v>0.39583333333333331</v>
      </c>
      <c r="M5" s="5">
        <v>0.40416666666666662</v>
      </c>
      <c r="N5" s="3" t="s">
        <v>152</v>
      </c>
      <c r="O5" s="3" t="s">
        <v>146</v>
      </c>
      <c r="P5" s="3">
        <v>1516</v>
      </c>
      <c r="Q5" s="3">
        <v>690</v>
      </c>
      <c r="R5" s="3">
        <v>0</v>
      </c>
      <c r="S5" s="15">
        <v>0</v>
      </c>
      <c r="T5" s="3">
        <v>0</v>
      </c>
      <c r="U5" s="3">
        <v>0</v>
      </c>
    </row>
    <row r="6" spans="1:21" x14ac:dyDescent="0.25">
      <c r="A6" s="2">
        <v>44383</v>
      </c>
      <c r="B6" s="3" t="s">
        <v>133</v>
      </c>
      <c r="C6" s="3" t="s">
        <v>24</v>
      </c>
      <c r="D6" s="3" t="s">
        <v>22</v>
      </c>
      <c r="E6" s="3" t="s">
        <v>35</v>
      </c>
      <c r="F6" s="3" t="s">
        <v>23</v>
      </c>
      <c r="G6" s="14">
        <v>70000</v>
      </c>
      <c r="H6" s="3" t="s">
        <v>25</v>
      </c>
      <c r="I6" s="3" t="s">
        <v>26</v>
      </c>
      <c r="J6" s="5">
        <v>0.95486111111111116</v>
      </c>
      <c r="K6" s="5">
        <v>0.94374999999999998</v>
      </c>
      <c r="L6" s="5">
        <v>0.50694444444444442</v>
      </c>
      <c r="M6" s="12">
        <v>0.5541666666666667</v>
      </c>
      <c r="N6" s="3" t="s">
        <v>154</v>
      </c>
      <c r="O6" s="3" t="s">
        <v>151</v>
      </c>
      <c r="P6" s="3">
        <v>975</v>
      </c>
      <c r="Q6" s="3">
        <v>478</v>
      </c>
      <c r="R6" s="15"/>
      <c r="S6" s="15"/>
      <c r="T6" s="15"/>
      <c r="U6" s="15"/>
    </row>
    <row r="7" spans="1:21" x14ac:dyDescent="0.25">
      <c r="A7" s="2">
        <v>44383</v>
      </c>
      <c r="B7" s="3" t="s">
        <v>133</v>
      </c>
      <c r="C7" s="3" t="s">
        <v>27</v>
      </c>
      <c r="D7" s="3" t="s">
        <v>22</v>
      </c>
      <c r="E7" s="3" t="s">
        <v>33</v>
      </c>
      <c r="F7" s="3" t="s">
        <v>23</v>
      </c>
      <c r="G7" s="14">
        <v>70000</v>
      </c>
      <c r="H7" s="3" t="s">
        <v>28</v>
      </c>
      <c r="I7" s="3" t="s">
        <v>29</v>
      </c>
      <c r="J7" s="5">
        <v>0.95486111111111116</v>
      </c>
      <c r="K7" s="5">
        <v>0.98263888888888884</v>
      </c>
      <c r="L7" s="5">
        <v>0.60069444444444442</v>
      </c>
      <c r="M7" s="12">
        <v>0.62361111111111112</v>
      </c>
      <c r="N7" s="13" t="s">
        <v>155</v>
      </c>
      <c r="O7" s="3" t="s">
        <v>153</v>
      </c>
      <c r="P7" s="3">
        <v>1150</v>
      </c>
      <c r="Q7" s="3">
        <v>453</v>
      </c>
      <c r="R7" s="15"/>
      <c r="S7" s="15"/>
      <c r="T7" s="15"/>
      <c r="U7" s="15"/>
    </row>
    <row r="8" spans="1:21" x14ac:dyDescent="0.25">
      <c r="A8" s="2">
        <v>44383</v>
      </c>
      <c r="B8" s="3" t="s">
        <v>147</v>
      </c>
      <c r="C8" s="3" t="s">
        <v>148</v>
      </c>
      <c r="D8" s="3" t="s">
        <v>149</v>
      </c>
      <c r="E8" s="3" t="s">
        <v>150</v>
      </c>
      <c r="F8" s="3" t="s">
        <v>140</v>
      </c>
      <c r="G8" s="3">
        <v>1300</v>
      </c>
      <c r="H8" s="3"/>
      <c r="I8" s="3"/>
      <c r="J8" s="5">
        <v>0.625</v>
      </c>
      <c r="K8" s="5">
        <v>0.42430555555555555</v>
      </c>
      <c r="L8" s="5">
        <v>0.66666666666666663</v>
      </c>
      <c r="M8" s="12">
        <v>0.66666666666666663</v>
      </c>
      <c r="N8" s="10">
        <v>0</v>
      </c>
      <c r="O8" s="10">
        <v>2</v>
      </c>
      <c r="R8" s="15"/>
      <c r="S8" s="15"/>
      <c r="T8" s="15"/>
      <c r="U8" s="15"/>
    </row>
    <row r="9" spans="1:2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2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"/>
  <sheetViews>
    <sheetView workbookViewId="0">
      <selection activeCell="H34" sqref="H34"/>
    </sheetView>
  </sheetViews>
  <sheetFormatPr defaultRowHeight="15" x14ac:dyDescent="0.25"/>
  <cols>
    <col min="2" max="2" width="8.28515625" customWidth="1"/>
    <col min="3" max="3" width="13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5">
      <c r="A2" s="9">
        <v>44384</v>
      </c>
      <c r="B2" s="10" t="s">
        <v>21</v>
      </c>
      <c r="C2" s="10" t="s">
        <v>99</v>
      </c>
      <c r="D2" s="10" t="s">
        <v>22</v>
      </c>
      <c r="E2" s="10" t="s">
        <v>33</v>
      </c>
      <c r="F2" s="3" t="s">
        <v>23</v>
      </c>
      <c r="G2" s="3">
        <v>70000</v>
      </c>
      <c r="H2" s="10" t="s">
        <v>106</v>
      </c>
      <c r="I2" s="10" t="s">
        <v>102</v>
      </c>
      <c r="J2" s="4">
        <v>0.53125</v>
      </c>
      <c r="K2" s="5">
        <v>0.52500000000000002</v>
      </c>
      <c r="L2" s="4">
        <v>0.2986111111111111</v>
      </c>
      <c r="M2" s="5">
        <v>0.29722222222222222</v>
      </c>
      <c r="N2" s="10" t="s">
        <v>158</v>
      </c>
      <c r="O2" s="3" t="s">
        <v>156</v>
      </c>
      <c r="P2" s="3">
        <v>1175</v>
      </c>
      <c r="Q2" s="3">
        <v>387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9">
        <v>44384</v>
      </c>
      <c r="B3" s="10" t="s">
        <v>21</v>
      </c>
      <c r="C3" s="10" t="s">
        <v>48</v>
      </c>
      <c r="D3" s="10" t="s">
        <v>22</v>
      </c>
      <c r="E3" s="3" t="s">
        <v>35</v>
      </c>
      <c r="F3" s="10" t="s">
        <v>23</v>
      </c>
      <c r="G3" s="10">
        <v>70000</v>
      </c>
      <c r="H3" s="10" t="s">
        <v>49</v>
      </c>
      <c r="I3" s="10" t="s">
        <v>50</v>
      </c>
      <c r="J3" s="11">
        <v>0.75</v>
      </c>
      <c r="K3" s="12">
        <v>0.7680555555555556</v>
      </c>
      <c r="L3" s="11">
        <v>0.30902777777777779</v>
      </c>
      <c r="M3" s="12">
        <v>0.31180555555555556</v>
      </c>
      <c r="N3" s="10" t="s">
        <v>160</v>
      </c>
      <c r="O3" s="10" t="s">
        <v>157</v>
      </c>
      <c r="P3" s="10">
        <v>1061</v>
      </c>
      <c r="Q3" s="10">
        <v>279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9">
        <v>44384</v>
      </c>
      <c r="B4" s="10" t="s">
        <v>21</v>
      </c>
      <c r="C4" s="10" t="s">
        <v>44</v>
      </c>
      <c r="D4" s="10" t="s">
        <v>22</v>
      </c>
      <c r="E4" s="10" t="s">
        <v>33</v>
      </c>
      <c r="F4" s="10" t="s">
        <v>23</v>
      </c>
      <c r="G4" s="10">
        <v>70000</v>
      </c>
      <c r="H4" s="10" t="s">
        <v>46</v>
      </c>
      <c r="I4" s="10" t="s">
        <v>47</v>
      </c>
      <c r="J4" s="11">
        <v>0.75694444444444453</v>
      </c>
      <c r="K4" s="12">
        <v>0.75069444444444444</v>
      </c>
      <c r="L4" s="11">
        <v>0.55555555555555558</v>
      </c>
      <c r="M4" s="12">
        <v>0.55972222222222223</v>
      </c>
      <c r="N4" s="10" t="s">
        <v>161</v>
      </c>
      <c r="O4" s="3" t="s">
        <v>159</v>
      </c>
      <c r="P4" s="3">
        <v>1736</v>
      </c>
      <c r="Q4" s="3">
        <v>418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9">
        <v>44384</v>
      </c>
      <c r="B5" s="10" t="s">
        <v>21</v>
      </c>
      <c r="C5" s="10" t="s">
        <v>54</v>
      </c>
      <c r="D5" s="10" t="s">
        <v>22</v>
      </c>
      <c r="E5" s="10" t="s">
        <v>33</v>
      </c>
      <c r="F5" s="10" t="s">
        <v>23</v>
      </c>
      <c r="G5" s="10">
        <v>70000</v>
      </c>
      <c r="H5" s="10" t="s">
        <v>55</v>
      </c>
      <c r="I5" s="10" t="s">
        <v>56</v>
      </c>
      <c r="J5" s="4">
        <v>0.95486111111111116</v>
      </c>
      <c r="K5" s="5">
        <v>0.95277777777777783</v>
      </c>
      <c r="L5" s="4">
        <v>0.78125</v>
      </c>
      <c r="M5" s="5">
        <v>0.78333333333333333</v>
      </c>
      <c r="N5" s="3" t="s">
        <v>162</v>
      </c>
      <c r="O5" s="3" t="s">
        <v>163</v>
      </c>
      <c r="P5" s="3">
        <v>831</v>
      </c>
      <c r="Q5" s="3">
        <v>318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6"/>
    </sheetView>
  </sheetViews>
  <sheetFormatPr defaultRowHeight="15" x14ac:dyDescent="0.25"/>
  <cols>
    <col min="1" max="1" width="8.42578125" customWidth="1"/>
    <col min="2" max="2" width="14" customWidth="1"/>
    <col min="3" max="3" width="13.5703125" customWidth="1"/>
    <col min="6" max="6" width="12.140625" bestFit="1" customWidth="1"/>
    <col min="10" max="10" width="8.28515625" customWidth="1"/>
    <col min="11" max="11" width="8.85546875" customWidth="1"/>
    <col min="12" max="12" width="9" customWidth="1"/>
    <col min="13" max="13" width="9.140625" customWidth="1"/>
    <col min="15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customHeight="1" x14ac:dyDescent="0.25">
      <c r="A2" s="9">
        <v>44385</v>
      </c>
      <c r="B2" s="10" t="s">
        <v>21</v>
      </c>
      <c r="C2" s="10" t="s">
        <v>24</v>
      </c>
      <c r="D2" s="10" t="s">
        <v>22</v>
      </c>
      <c r="E2" s="10" t="s">
        <v>177</v>
      </c>
      <c r="F2" s="3" t="s">
        <v>23</v>
      </c>
      <c r="G2" s="3">
        <v>70000</v>
      </c>
      <c r="H2" s="10" t="s">
        <v>25</v>
      </c>
      <c r="I2" s="10" t="s">
        <v>26</v>
      </c>
      <c r="J2" s="4">
        <v>0.67708333333333337</v>
      </c>
      <c r="K2" s="5">
        <v>0.67361111111111116</v>
      </c>
      <c r="L2" s="4">
        <v>0.27777777777777779</v>
      </c>
      <c r="M2" s="5">
        <v>0.28888888888888892</v>
      </c>
      <c r="N2" s="10" t="s">
        <v>173</v>
      </c>
      <c r="O2" s="3" t="s">
        <v>169</v>
      </c>
      <c r="P2" s="3">
        <v>1032</v>
      </c>
      <c r="Q2" s="3">
        <v>218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9">
        <v>44385</v>
      </c>
      <c r="B3" s="10" t="s">
        <v>21</v>
      </c>
      <c r="C3" s="10" t="s">
        <v>30</v>
      </c>
      <c r="D3" s="10" t="s">
        <v>22</v>
      </c>
      <c r="E3" s="10" t="s">
        <v>33</v>
      </c>
      <c r="F3" s="10" t="s">
        <v>23</v>
      </c>
      <c r="G3" s="10">
        <v>70000</v>
      </c>
      <c r="H3" s="10" t="s">
        <v>31</v>
      </c>
      <c r="I3" s="10" t="s">
        <v>32</v>
      </c>
      <c r="J3" s="11">
        <v>0.54861111111111105</v>
      </c>
      <c r="K3" s="12">
        <v>0.54513888888888895</v>
      </c>
      <c r="L3" s="11">
        <v>0.3576388888888889</v>
      </c>
      <c r="M3" s="5">
        <v>0.35902777777777778</v>
      </c>
      <c r="N3" s="10" t="s">
        <v>171</v>
      </c>
      <c r="O3" s="10" t="s">
        <v>170</v>
      </c>
      <c r="P3" s="10">
        <v>1587</v>
      </c>
      <c r="Q3" s="10">
        <v>377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9">
        <v>44385</v>
      </c>
      <c r="B4" s="10" t="s">
        <v>21</v>
      </c>
      <c r="C4" s="10" t="s">
        <v>137</v>
      </c>
      <c r="D4" s="10" t="s">
        <v>22</v>
      </c>
      <c r="E4" s="10" t="s">
        <v>33</v>
      </c>
      <c r="F4" s="10" t="s">
        <v>23</v>
      </c>
      <c r="G4" s="10">
        <v>70000</v>
      </c>
      <c r="H4" s="10" t="s">
        <v>83</v>
      </c>
      <c r="I4" s="10" t="s">
        <v>84</v>
      </c>
      <c r="J4" s="11">
        <v>0.78819444444444453</v>
      </c>
      <c r="K4" s="12">
        <v>0.78472222222222221</v>
      </c>
      <c r="L4" s="11">
        <v>0.58333333333333337</v>
      </c>
      <c r="M4" s="5">
        <v>0.5854166666666667</v>
      </c>
      <c r="N4" s="10" t="s">
        <v>174</v>
      </c>
      <c r="O4" s="3" t="s">
        <v>172</v>
      </c>
      <c r="P4" s="3">
        <v>1316</v>
      </c>
      <c r="Q4" s="3">
        <v>97</v>
      </c>
      <c r="R4" s="3">
        <v>0</v>
      </c>
      <c r="S4" s="3">
        <v>0</v>
      </c>
      <c r="T4" s="3">
        <v>0</v>
      </c>
      <c r="U4" s="3">
        <v>0</v>
      </c>
    </row>
    <row r="5" spans="1:21" ht="13.5" customHeight="1" x14ac:dyDescent="0.25">
      <c r="A5" s="9">
        <v>44385</v>
      </c>
      <c r="B5" s="10" t="s">
        <v>21</v>
      </c>
      <c r="C5" s="10" t="s">
        <v>27</v>
      </c>
      <c r="D5" s="10" t="s">
        <v>22</v>
      </c>
      <c r="E5" s="10" t="s">
        <v>177</v>
      </c>
      <c r="F5" s="10" t="s">
        <v>23</v>
      </c>
      <c r="G5" s="10">
        <v>70000</v>
      </c>
      <c r="H5" s="10" t="s">
        <v>28</v>
      </c>
      <c r="I5" s="10" t="s">
        <v>29</v>
      </c>
      <c r="J5" s="4">
        <v>0.94791666666666663</v>
      </c>
      <c r="K5" s="5">
        <v>0.9555555555555556</v>
      </c>
      <c r="L5" s="4">
        <v>0.80208333333333337</v>
      </c>
      <c r="M5" s="5">
        <v>0.7993055555555556</v>
      </c>
      <c r="N5" s="3" t="s">
        <v>178</v>
      </c>
      <c r="O5" s="3" t="s">
        <v>175</v>
      </c>
      <c r="P5" s="3">
        <v>951</v>
      </c>
      <c r="Q5" s="3">
        <v>310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5" customHeight="1" x14ac:dyDescent="0.2">
      <c r="A6" s="9">
        <v>44385</v>
      </c>
      <c r="B6" s="10" t="s">
        <v>21</v>
      </c>
      <c r="C6" s="10" t="s">
        <v>101</v>
      </c>
      <c r="D6" s="10" t="s">
        <v>22</v>
      </c>
      <c r="E6" s="10" t="s">
        <v>33</v>
      </c>
      <c r="F6" s="10" t="s">
        <v>23</v>
      </c>
      <c r="G6" s="10">
        <v>70000</v>
      </c>
      <c r="H6" s="10" t="s">
        <v>105</v>
      </c>
      <c r="I6" s="10" t="s">
        <v>104</v>
      </c>
      <c r="J6" s="4">
        <v>2.4305555555555556E-2</v>
      </c>
      <c r="K6" s="5">
        <v>5.7638888888888885E-2</v>
      </c>
      <c r="L6" s="4">
        <v>0.80902777777777779</v>
      </c>
      <c r="M6" s="5">
        <v>0.81388888888888899</v>
      </c>
      <c r="N6" s="3" t="s">
        <v>179</v>
      </c>
      <c r="O6" s="3" t="s">
        <v>176</v>
      </c>
      <c r="P6" s="3">
        <v>954</v>
      </c>
      <c r="Q6" s="3">
        <v>36</v>
      </c>
      <c r="R6" s="3">
        <v>0</v>
      </c>
      <c r="S6" s="3">
        <v>0</v>
      </c>
      <c r="T6" s="3">
        <v>0</v>
      </c>
      <c r="U6" s="3">
        <v>0</v>
      </c>
    </row>
    <row r="7" spans="1:21" s="3" customFormat="1" ht="12.75" x14ac:dyDescent="0.2">
      <c r="A7" s="9">
        <v>44385</v>
      </c>
      <c r="B7" s="10" t="s">
        <v>164</v>
      </c>
      <c r="C7" s="10" t="s">
        <v>165</v>
      </c>
      <c r="D7" s="10" t="s">
        <v>166</v>
      </c>
      <c r="E7" s="10" t="s">
        <v>167</v>
      </c>
      <c r="F7" s="10" t="s">
        <v>168</v>
      </c>
      <c r="G7" s="14">
        <v>1600</v>
      </c>
      <c r="H7" s="3" t="s">
        <v>103</v>
      </c>
      <c r="I7" s="3" t="s">
        <v>103</v>
      </c>
      <c r="J7" s="4">
        <v>0.45833333333333331</v>
      </c>
      <c r="K7" s="5">
        <v>0.4694444444444445</v>
      </c>
      <c r="L7" s="4">
        <v>0.58333333333333337</v>
      </c>
      <c r="M7" s="5">
        <v>0.59583333333333333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4" sqref="A4:U4"/>
    </sheetView>
  </sheetViews>
  <sheetFormatPr defaultRowHeight="15" x14ac:dyDescent="0.25"/>
  <cols>
    <col min="1" max="1" width="10.140625" bestFit="1" customWidth="1"/>
    <col min="3" max="3" width="15.28515625" customWidth="1"/>
    <col min="5" max="5" width="15.7109375" bestFit="1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44386</v>
      </c>
      <c r="B2" s="10" t="s">
        <v>21</v>
      </c>
      <c r="C2" s="10" t="s">
        <v>44</v>
      </c>
      <c r="D2" s="10" t="s">
        <v>22</v>
      </c>
      <c r="E2" s="10" t="s">
        <v>33</v>
      </c>
      <c r="F2" s="3" t="s">
        <v>23</v>
      </c>
      <c r="G2" s="3">
        <v>70000</v>
      </c>
      <c r="H2" s="10" t="s">
        <v>46</v>
      </c>
      <c r="I2" s="10" t="s">
        <v>47</v>
      </c>
      <c r="J2" s="4">
        <v>0.45833333333333331</v>
      </c>
      <c r="K2" s="5">
        <v>0.4548611111111111</v>
      </c>
      <c r="L2" s="4">
        <v>0.25694444444444448</v>
      </c>
      <c r="M2" s="5">
        <v>0.25833333333333336</v>
      </c>
      <c r="N2" s="10" t="s">
        <v>186</v>
      </c>
      <c r="O2" s="3" t="s">
        <v>182</v>
      </c>
      <c r="P2" s="3">
        <v>1752</v>
      </c>
      <c r="Q2" s="3">
        <v>317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9">
        <v>44386</v>
      </c>
      <c r="B3" s="10" t="s">
        <v>21</v>
      </c>
      <c r="C3" s="10" t="s">
        <v>64</v>
      </c>
      <c r="D3" s="10" t="s">
        <v>22</v>
      </c>
      <c r="E3" s="3" t="s">
        <v>177</v>
      </c>
      <c r="F3" s="10" t="s">
        <v>23</v>
      </c>
      <c r="G3" s="10">
        <v>70000</v>
      </c>
      <c r="H3" s="10" t="s">
        <v>66</v>
      </c>
      <c r="I3" s="10" t="s">
        <v>67</v>
      </c>
      <c r="J3" s="11">
        <v>0.4375</v>
      </c>
      <c r="K3" s="12">
        <v>0.42708333333333331</v>
      </c>
      <c r="L3" s="11">
        <v>0.27083333333333331</v>
      </c>
      <c r="M3" s="12">
        <v>0.27291666666666664</v>
      </c>
      <c r="N3" s="10" t="s">
        <v>187</v>
      </c>
      <c r="O3" s="10" t="s">
        <v>184</v>
      </c>
      <c r="P3" s="10">
        <v>1049</v>
      </c>
      <c r="Q3" s="10">
        <v>427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9">
        <v>44386</v>
      </c>
      <c r="B4" s="10" t="s">
        <v>21</v>
      </c>
      <c r="C4" s="10" t="s">
        <v>48</v>
      </c>
      <c r="D4" s="10" t="s">
        <v>22</v>
      </c>
      <c r="E4" s="10" t="s">
        <v>180</v>
      </c>
      <c r="F4" s="10" t="s">
        <v>23</v>
      </c>
      <c r="G4" s="10">
        <v>70000</v>
      </c>
      <c r="H4" s="10" t="s">
        <v>49</v>
      </c>
      <c r="I4" s="10" t="s">
        <v>50</v>
      </c>
      <c r="J4" s="11">
        <v>0.90277777777777779</v>
      </c>
      <c r="K4" s="12">
        <v>0.92847222222222225</v>
      </c>
      <c r="L4" s="11">
        <v>0.46875</v>
      </c>
      <c r="M4" s="12">
        <v>0.46458333333333335</v>
      </c>
      <c r="N4" s="10" t="s">
        <v>190</v>
      </c>
      <c r="O4" s="3" t="s">
        <v>188</v>
      </c>
      <c r="P4" s="3">
        <v>1255</v>
      </c>
      <c r="Q4" s="3">
        <v>576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9">
        <v>44386</v>
      </c>
      <c r="B5" s="10" t="s">
        <v>21</v>
      </c>
      <c r="C5" s="10" t="s">
        <v>51</v>
      </c>
      <c r="D5" s="10" t="s">
        <v>22</v>
      </c>
      <c r="E5" s="10" t="s">
        <v>33</v>
      </c>
      <c r="F5" s="10" t="s">
        <v>23</v>
      </c>
      <c r="G5" s="10">
        <v>70000</v>
      </c>
      <c r="H5" s="10" t="s">
        <v>52</v>
      </c>
      <c r="I5" s="10" t="s">
        <v>53</v>
      </c>
      <c r="J5" s="4">
        <v>0.71875</v>
      </c>
      <c r="K5" s="5">
        <v>0.72569444444444453</v>
      </c>
      <c r="L5" s="4">
        <v>0.48958333333333331</v>
      </c>
      <c r="M5" s="5">
        <v>0.49444444444444446</v>
      </c>
      <c r="N5" s="3" t="s">
        <v>190</v>
      </c>
      <c r="O5" s="3" t="s">
        <v>189</v>
      </c>
      <c r="P5" s="3">
        <v>1538</v>
      </c>
      <c r="Q5" s="3">
        <v>441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9">
        <v>44386</v>
      </c>
      <c r="B6" s="10" t="s">
        <v>21</v>
      </c>
      <c r="C6" s="10" t="s">
        <v>54</v>
      </c>
      <c r="D6" s="10" t="s">
        <v>22</v>
      </c>
      <c r="E6" s="10" t="s">
        <v>33</v>
      </c>
      <c r="F6" s="10" t="s">
        <v>23</v>
      </c>
      <c r="G6" s="10">
        <v>70000</v>
      </c>
      <c r="H6" s="10" t="s">
        <v>55</v>
      </c>
      <c r="I6" s="10" t="s">
        <v>56</v>
      </c>
      <c r="J6" s="12">
        <v>0.92013888888888884</v>
      </c>
      <c r="K6" s="12">
        <v>0.92152777777777783</v>
      </c>
      <c r="L6" s="12">
        <v>0.73958333333333337</v>
      </c>
      <c r="M6" s="12">
        <v>0.75555555555555554</v>
      </c>
      <c r="N6" s="10" t="s">
        <v>192</v>
      </c>
      <c r="O6" s="3" t="s">
        <v>191</v>
      </c>
      <c r="P6" s="3">
        <v>1199</v>
      </c>
      <c r="Q6" s="3">
        <v>496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9">
        <v>44386</v>
      </c>
      <c r="B7" s="10" t="s">
        <v>57</v>
      </c>
      <c r="C7" s="10" t="s">
        <v>58</v>
      </c>
      <c r="D7" s="10" t="s">
        <v>22</v>
      </c>
      <c r="E7" s="10" t="s">
        <v>185</v>
      </c>
      <c r="F7" s="10" t="s">
        <v>181</v>
      </c>
      <c r="G7" s="10">
        <v>77000</v>
      </c>
      <c r="H7" s="10" t="s">
        <v>61</v>
      </c>
      <c r="I7" s="10" t="s">
        <v>62</v>
      </c>
      <c r="J7" s="12">
        <v>0.3298611111111111</v>
      </c>
      <c r="K7" s="12">
        <v>0.32708333333333334</v>
      </c>
      <c r="L7" s="12">
        <v>0.37152777777777773</v>
      </c>
      <c r="M7" s="12">
        <v>0.38263888888888892</v>
      </c>
      <c r="N7" s="10" t="s">
        <v>183</v>
      </c>
      <c r="O7" s="10" t="s">
        <v>161</v>
      </c>
      <c r="P7" s="10">
        <v>2256</v>
      </c>
      <c r="Q7" s="10">
        <v>1907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D1" workbookViewId="0">
      <selection activeCell="I34" sqref="I3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44387</v>
      </c>
      <c r="B2" s="10" t="s">
        <v>21</v>
      </c>
      <c r="C2" s="10" t="s">
        <v>134</v>
      </c>
      <c r="D2" s="10" t="s">
        <v>22</v>
      </c>
      <c r="E2" s="10" t="s">
        <v>33</v>
      </c>
      <c r="F2" s="10" t="s">
        <v>23</v>
      </c>
      <c r="G2" s="10">
        <v>70000</v>
      </c>
      <c r="H2" s="10" t="s">
        <v>135</v>
      </c>
      <c r="I2" s="10" t="s">
        <v>136</v>
      </c>
      <c r="J2" s="11">
        <v>0.375</v>
      </c>
      <c r="K2" s="12">
        <v>0.36249999999999999</v>
      </c>
      <c r="L2" s="11">
        <v>0.25694444444444448</v>
      </c>
      <c r="M2" s="12">
        <v>0.25763888888888892</v>
      </c>
      <c r="N2" s="10" t="s">
        <v>196</v>
      </c>
      <c r="O2" s="10" t="s">
        <v>194</v>
      </c>
      <c r="P2" s="10">
        <v>556</v>
      </c>
      <c r="Q2" s="10">
        <v>333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44387</v>
      </c>
      <c r="B3" s="10" t="s">
        <v>21</v>
      </c>
      <c r="C3" s="10" t="s">
        <v>24</v>
      </c>
      <c r="D3" s="10" t="s">
        <v>22</v>
      </c>
      <c r="E3" s="10" t="s">
        <v>193</v>
      </c>
      <c r="F3" s="10" t="s">
        <v>23</v>
      </c>
      <c r="G3" s="10">
        <v>70000</v>
      </c>
      <c r="H3" s="10" t="s">
        <v>25</v>
      </c>
      <c r="I3" s="10" t="s">
        <v>26</v>
      </c>
      <c r="J3" s="11">
        <v>0.4375</v>
      </c>
      <c r="K3" s="12">
        <v>0.45347222222222222</v>
      </c>
      <c r="L3" s="11">
        <v>0.27083333333333331</v>
      </c>
      <c r="M3" s="12">
        <v>0.27152777777777776</v>
      </c>
      <c r="N3" s="10" t="s">
        <v>197</v>
      </c>
      <c r="O3" s="10" t="s">
        <v>195</v>
      </c>
      <c r="P3" s="10">
        <v>1379</v>
      </c>
      <c r="Q3" s="10">
        <v>438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44387</v>
      </c>
      <c r="B4" s="10" t="s">
        <v>21</v>
      </c>
      <c r="C4" s="10" t="s">
        <v>138</v>
      </c>
      <c r="D4" s="10" t="s">
        <v>22</v>
      </c>
      <c r="E4" s="10" t="s">
        <v>33</v>
      </c>
      <c r="F4" s="10" t="s">
        <v>23</v>
      </c>
      <c r="G4" s="10">
        <v>70000</v>
      </c>
      <c r="H4" s="10" t="s">
        <v>80</v>
      </c>
      <c r="I4" s="10" t="s">
        <v>81</v>
      </c>
      <c r="J4" s="11">
        <v>0.57291666666666663</v>
      </c>
      <c r="K4" s="12">
        <v>0.57430555555555551</v>
      </c>
      <c r="L4" s="11">
        <v>0.39583333333333331</v>
      </c>
      <c r="M4" s="12">
        <v>0.39513888888888887</v>
      </c>
      <c r="N4" s="10" t="s">
        <v>200</v>
      </c>
      <c r="O4" s="10" t="s">
        <v>198</v>
      </c>
      <c r="P4" s="10">
        <v>1694</v>
      </c>
      <c r="Q4" s="10">
        <v>1127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9">
        <v>44387</v>
      </c>
      <c r="B5" s="10" t="s">
        <v>21</v>
      </c>
      <c r="C5" s="10" t="s">
        <v>137</v>
      </c>
      <c r="D5" s="10" t="s">
        <v>22</v>
      </c>
      <c r="E5" s="10" t="s">
        <v>193</v>
      </c>
      <c r="F5" s="10" t="s">
        <v>23</v>
      </c>
      <c r="G5" s="10">
        <v>70000</v>
      </c>
      <c r="H5" s="10" t="s">
        <v>83</v>
      </c>
      <c r="I5" s="10" t="s">
        <v>84</v>
      </c>
      <c r="J5" s="11">
        <v>0.67361111111111116</v>
      </c>
      <c r="K5" s="12">
        <v>0.67847222222222225</v>
      </c>
      <c r="L5" s="11">
        <v>0.46875</v>
      </c>
      <c r="M5" s="12">
        <v>0.4861111111111111</v>
      </c>
      <c r="N5" s="10" t="s">
        <v>201</v>
      </c>
      <c r="O5" s="10" t="s">
        <v>199</v>
      </c>
      <c r="P5" s="10">
        <v>1416</v>
      </c>
      <c r="Q5" s="10">
        <v>282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9">
        <v>44387</v>
      </c>
      <c r="B6" s="9" t="s">
        <v>21</v>
      </c>
      <c r="C6" s="10" t="s">
        <v>27</v>
      </c>
      <c r="D6" s="10" t="s">
        <v>22</v>
      </c>
      <c r="E6" s="10" t="s">
        <v>33</v>
      </c>
      <c r="F6" s="10" t="s">
        <v>23</v>
      </c>
      <c r="G6" s="10">
        <v>70000</v>
      </c>
      <c r="H6" s="10" t="s">
        <v>28</v>
      </c>
      <c r="I6" s="10" t="s">
        <v>29</v>
      </c>
      <c r="J6" s="11">
        <v>0.95486111111111116</v>
      </c>
      <c r="K6" s="12">
        <v>0.91736111111111107</v>
      </c>
      <c r="L6" s="11">
        <v>0.60069444444444442</v>
      </c>
      <c r="M6" s="12">
        <v>0.61388888888888882</v>
      </c>
      <c r="N6" s="10" t="s">
        <v>202</v>
      </c>
      <c r="O6" s="10" t="s">
        <v>203</v>
      </c>
      <c r="P6" s="10">
        <v>1900</v>
      </c>
      <c r="Q6" s="10">
        <v>1224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5">
      <c r="A7" s="9">
        <v>44387</v>
      </c>
      <c r="B7" s="10" t="s">
        <v>21</v>
      </c>
      <c r="C7" s="10" t="s">
        <v>85</v>
      </c>
      <c r="D7" s="10" t="s">
        <v>22</v>
      </c>
      <c r="E7" s="10" t="s">
        <v>193</v>
      </c>
      <c r="F7" s="10" t="s">
        <v>23</v>
      </c>
      <c r="G7" s="10">
        <v>70000</v>
      </c>
      <c r="H7" s="10" t="s">
        <v>86</v>
      </c>
      <c r="I7" s="10" t="s">
        <v>87</v>
      </c>
      <c r="J7" s="12">
        <v>0.90972222222222221</v>
      </c>
      <c r="K7" s="16">
        <v>0.98958333333333337</v>
      </c>
      <c r="L7" s="12">
        <v>0.69444444444444453</v>
      </c>
      <c r="M7" s="16">
        <v>0.7090277777777777</v>
      </c>
      <c r="N7" s="17" t="s">
        <v>186</v>
      </c>
      <c r="O7" s="17" t="s">
        <v>204</v>
      </c>
      <c r="P7" s="17">
        <v>2101</v>
      </c>
      <c r="Q7" s="17">
        <v>642</v>
      </c>
      <c r="R7" s="17">
        <v>0</v>
      </c>
      <c r="S7" s="17">
        <v>0</v>
      </c>
      <c r="T7" s="17">
        <v>0</v>
      </c>
      <c r="U7" s="17">
        <v>0</v>
      </c>
    </row>
    <row r="8" spans="1:2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F25" sqref="F25"/>
    </sheetView>
  </sheetViews>
  <sheetFormatPr defaultRowHeight="15" x14ac:dyDescent="0.25"/>
  <cols>
    <col min="3" max="3" width="1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44388</v>
      </c>
      <c r="B2" s="10" t="s">
        <v>21</v>
      </c>
      <c r="C2" s="10" t="s">
        <v>99</v>
      </c>
      <c r="D2" s="10" t="s">
        <v>22</v>
      </c>
      <c r="E2" s="10" t="s">
        <v>65</v>
      </c>
      <c r="F2" s="10" t="s">
        <v>23</v>
      </c>
      <c r="G2" s="10">
        <v>70000</v>
      </c>
      <c r="H2" s="10" t="s">
        <v>106</v>
      </c>
      <c r="I2" s="10" t="s">
        <v>102</v>
      </c>
      <c r="J2" s="11">
        <v>0.70486111111111116</v>
      </c>
      <c r="K2" s="12">
        <v>0.6875</v>
      </c>
      <c r="L2" s="11">
        <v>0.46875</v>
      </c>
      <c r="M2" s="12">
        <v>0.46458333333333335</v>
      </c>
      <c r="N2" s="10" t="s">
        <v>205</v>
      </c>
      <c r="O2" s="10" t="s">
        <v>92</v>
      </c>
      <c r="P2" s="10">
        <v>1650</v>
      </c>
      <c r="Q2" s="10">
        <v>503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44388</v>
      </c>
      <c r="B3" s="10" t="s">
        <v>21</v>
      </c>
      <c r="C3" s="10" t="s">
        <v>30</v>
      </c>
      <c r="D3" s="10" t="s">
        <v>22</v>
      </c>
      <c r="E3" s="10" t="s">
        <v>45</v>
      </c>
      <c r="F3" s="10" t="s">
        <v>23</v>
      </c>
      <c r="G3" s="10">
        <v>70000</v>
      </c>
      <c r="H3" s="10" t="s">
        <v>31</v>
      </c>
      <c r="I3" s="10" t="s">
        <v>32</v>
      </c>
      <c r="J3" s="11">
        <v>0.90625</v>
      </c>
      <c r="K3" s="12">
        <v>0.91805555555555562</v>
      </c>
      <c r="L3" s="11">
        <v>0.71527777777777779</v>
      </c>
      <c r="M3" s="12">
        <v>0.71875</v>
      </c>
      <c r="N3" s="10" t="s">
        <v>206</v>
      </c>
      <c r="O3" s="10" t="s">
        <v>208</v>
      </c>
      <c r="P3" s="10">
        <v>1726</v>
      </c>
      <c r="Q3" s="10">
        <v>631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44388</v>
      </c>
      <c r="B4" s="10" t="s">
        <v>21</v>
      </c>
      <c r="C4" s="10" t="s">
        <v>101</v>
      </c>
      <c r="D4" s="10" t="s">
        <v>22</v>
      </c>
      <c r="E4" s="10" t="s">
        <v>65</v>
      </c>
      <c r="F4" s="10" t="s">
        <v>23</v>
      </c>
      <c r="G4" s="10">
        <v>70000</v>
      </c>
      <c r="H4" s="10" t="s">
        <v>105</v>
      </c>
      <c r="I4" s="10" t="s">
        <v>104</v>
      </c>
      <c r="J4" s="11">
        <v>0.94097222222222221</v>
      </c>
      <c r="K4" s="12">
        <v>0.93472222222222223</v>
      </c>
      <c r="L4" s="11">
        <v>0.72569444444444453</v>
      </c>
      <c r="M4" s="12">
        <v>0.72291666666666676</v>
      </c>
      <c r="N4" s="10" t="s">
        <v>207</v>
      </c>
      <c r="O4" s="10" t="s">
        <v>209</v>
      </c>
      <c r="P4" s="10">
        <v>1324</v>
      </c>
      <c r="Q4" s="10">
        <v>282</v>
      </c>
      <c r="R4" s="10">
        <v>0</v>
      </c>
      <c r="S4" s="10">
        <v>0</v>
      </c>
      <c r="T4" s="10">
        <v>0</v>
      </c>
      <c r="U4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P8" sqref="P8"/>
    </sheetView>
  </sheetViews>
  <sheetFormatPr defaultRowHeight="15" x14ac:dyDescent="0.25"/>
  <cols>
    <col min="1" max="1" width="8.5703125" customWidth="1"/>
    <col min="2" max="2" width="8.28515625" customWidth="1"/>
    <col min="3" max="3" width="10.42578125" customWidth="1"/>
    <col min="6" max="6" width="12.140625" bestFit="1" customWidth="1"/>
    <col min="10" max="10" width="9" customWidth="1"/>
    <col min="11" max="11" width="8.140625" customWidth="1"/>
    <col min="12" max="12" width="9.5703125" customWidth="1"/>
    <col min="13" max="13" width="10.85546875" bestFit="1" customWidth="1"/>
    <col min="14" max="14" width="13.28515625" customWidth="1"/>
    <col min="15" max="15" width="16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44389</v>
      </c>
      <c r="B2" s="10" t="s">
        <v>21</v>
      </c>
      <c r="C2" s="10" t="s">
        <v>44</v>
      </c>
      <c r="D2" s="10" t="s">
        <v>22</v>
      </c>
      <c r="E2" s="10" t="s">
        <v>45</v>
      </c>
      <c r="F2" s="10" t="s">
        <v>23</v>
      </c>
      <c r="G2" s="10">
        <v>70000</v>
      </c>
      <c r="H2" s="10" t="s">
        <v>46</v>
      </c>
      <c r="I2" s="10" t="s">
        <v>47</v>
      </c>
      <c r="J2" s="11">
        <v>0.45833333333333331</v>
      </c>
      <c r="K2" s="12">
        <v>0.4694444444444445</v>
      </c>
      <c r="L2" s="11">
        <v>0.25694444444444448</v>
      </c>
      <c r="M2" s="12">
        <v>0.25625000000000003</v>
      </c>
      <c r="N2" s="10" t="s">
        <v>91</v>
      </c>
      <c r="O2" s="10" t="s">
        <v>211</v>
      </c>
      <c r="P2" s="10">
        <v>1821</v>
      </c>
      <c r="Q2" s="10">
        <v>707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9">
        <v>44389</v>
      </c>
      <c r="B3" s="9" t="s">
        <v>21</v>
      </c>
      <c r="C3" s="10" t="s">
        <v>27</v>
      </c>
      <c r="D3" s="10" t="s">
        <v>22</v>
      </c>
      <c r="E3" s="10" t="s">
        <v>210</v>
      </c>
      <c r="F3" s="10" t="s">
        <v>23</v>
      </c>
      <c r="G3" s="10">
        <v>70000</v>
      </c>
      <c r="H3" s="10" t="s">
        <v>28</v>
      </c>
      <c r="I3" s="10" t="s">
        <v>29</v>
      </c>
      <c r="J3" s="11">
        <v>0.41319444444444442</v>
      </c>
      <c r="K3" s="12">
        <v>0.39930555555555558</v>
      </c>
      <c r="L3" s="11">
        <v>0.27083333333333331</v>
      </c>
      <c r="M3" s="12">
        <v>0.27083333333333331</v>
      </c>
      <c r="N3" s="10" t="s">
        <v>213</v>
      </c>
      <c r="O3" s="10" t="s">
        <v>212</v>
      </c>
      <c r="P3" s="10">
        <v>650</v>
      </c>
      <c r="Q3" s="10">
        <v>262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44389</v>
      </c>
      <c r="B4" s="10" t="s">
        <v>21</v>
      </c>
      <c r="C4" s="10" t="s">
        <v>48</v>
      </c>
      <c r="D4" s="10" t="s">
        <v>22</v>
      </c>
      <c r="E4" s="10" t="s">
        <v>210</v>
      </c>
      <c r="F4" s="10" t="s">
        <v>23</v>
      </c>
      <c r="G4" s="10">
        <v>70000</v>
      </c>
      <c r="H4" s="10" t="s">
        <v>49</v>
      </c>
      <c r="I4" s="10" t="s">
        <v>50</v>
      </c>
      <c r="J4" s="11">
        <v>0.90277777777777779</v>
      </c>
      <c r="K4" s="12">
        <v>0.90763888888888899</v>
      </c>
      <c r="L4" s="11">
        <v>0.46875</v>
      </c>
      <c r="M4" s="12">
        <v>0.47083333333333338</v>
      </c>
      <c r="N4" s="10" t="s">
        <v>219</v>
      </c>
      <c r="O4" s="10" t="s">
        <v>214</v>
      </c>
      <c r="P4" s="10">
        <v>1347</v>
      </c>
      <c r="Q4" s="10">
        <v>670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9">
        <v>44389</v>
      </c>
      <c r="B5" s="10" t="s">
        <v>21</v>
      </c>
      <c r="C5" s="10" t="s">
        <v>51</v>
      </c>
      <c r="D5" s="10" t="s">
        <v>22</v>
      </c>
      <c r="E5" s="10" t="s">
        <v>45</v>
      </c>
      <c r="F5" s="10" t="s">
        <v>23</v>
      </c>
      <c r="G5" s="10">
        <v>70000</v>
      </c>
      <c r="H5" s="10" t="s">
        <v>52</v>
      </c>
      <c r="I5" s="10" t="s">
        <v>53</v>
      </c>
      <c r="J5" s="11">
        <v>0.71875</v>
      </c>
      <c r="K5" s="12">
        <v>0.7284722222222223</v>
      </c>
      <c r="L5" s="11">
        <v>0.48958333333333331</v>
      </c>
      <c r="M5" s="12">
        <v>0.50624999999999998</v>
      </c>
      <c r="N5" s="10" t="s">
        <v>216</v>
      </c>
      <c r="O5" s="10" t="s">
        <v>215</v>
      </c>
      <c r="P5" s="10">
        <v>1535</v>
      </c>
      <c r="Q5" s="10">
        <v>373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9">
        <v>44389</v>
      </c>
      <c r="B6" s="10" t="s">
        <v>21</v>
      </c>
      <c r="C6" s="10" t="s">
        <v>54</v>
      </c>
      <c r="D6" s="10" t="s">
        <v>22</v>
      </c>
      <c r="E6" s="10" t="s">
        <v>45</v>
      </c>
      <c r="F6" s="10" t="s">
        <v>23</v>
      </c>
      <c r="G6" s="10">
        <v>70000</v>
      </c>
      <c r="H6" s="10" t="s">
        <v>55</v>
      </c>
      <c r="I6" s="10" t="s">
        <v>56</v>
      </c>
      <c r="J6" s="4">
        <v>0.92013888888888884</v>
      </c>
      <c r="K6" s="5">
        <v>0.9291666666666667</v>
      </c>
      <c r="L6" s="4">
        <v>0.73958333333333337</v>
      </c>
      <c r="M6" s="5">
        <v>0.7597222222222223</v>
      </c>
      <c r="N6" s="3" t="s">
        <v>218</v>
      </c>
      <c r="O6" s="3" t="s">
        <v>217</v>
      </c>
      <c r="P6" s="3">
        <v>1278</v>
      </c>
      <c r="Q6" s="3">
        <v>777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E1" workbookViewId="0">
      <selection activeCell="F34" sqref="F34"/>
    </sheetView>
  </sheetViews>
  <sheetFormatPr defaultRowHeight="15" x14ac:dyDescent="0.25"/>
  <cols>
    <col min="2" max="2" width="14.28515625" bestFit="1" customWidth="1"/>
    <col min="3" max="3" width="18.5703125" bestFit="1" customWidth="1"/>
    <col min="6" max="6" width="12.5703125" bestFit="1" customWidth="1"/>
    <col min="10" max="10" width="11" bestFit="1" customWidth="1"/>
    <col min="11" max="11" width="10.855468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44390</v>
      </c>
      <c r="B2" s="10" t="s">
        <v>21</v>
      </c>
      <c r="C2" s="10" t="s">
        <v>134</v>
      </c>
      <c r="D2" s="10" t="s">
        <v>22</v>
      </c>
      <c r="E2" s="10" t="s">
        <v>193</v>
      </c>
      <c r="F2" s="10" t="s">
        <v>23</v>
      </c>
      <c r="G2" s="10">
        <v>70000</v>
      </c>
      <c r="H2" s="10" t="s">
        <v>135</v>
      </c>
      <c r="I2" s="10" t="s">
        <v>136</v>
      </c>
      <c r="J2" s="11">
        <v>0.375</v>
      </c>
      <c r="K2" s="12">
        <v>0.38541666666666669</v>
      </c>
      <c r="L2" s="11">
        <v>0.25694444444444448</v>
      </c>
      <c r="M2" s="12">
        <v>0.27430555555555552</v>
      </c>
      <c r="N2" s="10" t="s">
        <v>225</v>
      </c>
      <c r="O2" s="10" t="s">
        <v>222</v>
      </c>
      <c r="P2" s="10">
        <v>767</v>
      </c>
      <c r="Q2" s="10">
        <v>276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44390</v>
      </c>
      <c r="B3" s="10" t="s">
        <v>21</v>
      </c>
      <c r="C3" s="10" t="s">
        <v>24</v>
      </c>
      <c r="D3" s="10" t="s">
        <v>22</v>
      </c>
      <c r="E3" s="10" t="s">
        <v>33</v>
      </c>
      <c r="F3" s="10" t="s">
        <v>23</v>
      </c>
      <c r="G3" s="10">
        <v>70000</v>
      </c>
      <c r="H3" s="10" t="s">
        <v>25</v>
      </c>
      <c r="I3" s="10" t="s">
        <v>26</v>
      </c>
      <c r="J3" s="11">
        <v>0.42708333333333331</v>
      </c>
      <c r="K3" s="12">
        <v>0.43333333333333335</v>
      </c>
      <c r="L3" s="11">
        <v>0.26041666666666669</v>
      </c>
      <c r="M3" s="12">
        <v>0.26944444444444443</v>
      </c>
      <c r="N3" s="10" t="s">
        <v>226</v>
      </c>
      <c r="O3" s="10" t="s">
        <v>223</v>
      </c>
      <c r="P3" s="10">
        <v>1295</v>
      </c>
      <c r="Q3" s="10">
        <v>232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44390</v>
      </c>
      <c r="B4" s="10" t="s">
        <v>21</v>
      </c>
      <c r="C4" s="10" t="s">
        <v>138</v>
      </c>
      <c r="D4" s="10" t="s">
        <v>22</v>
      </c>
      <c r="E4" s="10" t="s">
        <v>193</v>
      </c>
      <c r="F4" s="10" t="s">
        <v>23</v>
      </c>
      <c r="G4" s="10">
        <v>70000</v>
      </c>
      <c r="H4" s="10" t="s">
        <v>80</v>
      </c>
      <c r="I4" s="10" t="s">
        <v>81</v>
      </c>
      <c r="J4" s="11">
        <v>0.57291666666666663</v>
      </c>
      <c r="K4" s="12">
        <v>0.59722222222222221</v>
      </c>
      <c r="L4" s="11">
        <v>0.39583333333333331</v>
      </c>
      <c r="M4" s="12">
        <v>0.41875000000000001</v>
      </c>
      <c r="N4" s="10" t="s">
        <v>233</v>
      </c>
      <c r="O4" s="10" t="s">
        <v>227</v>
      </c>
      <c r="P4" s="10">
        <v>966</v>
      </c>
      <c r="Q4" s="10">
        <v>916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9">
        <v>44390</v>
      </c>
      <c r="B5" s="10" t="s">
        <v>21</v>
      </c>
      <c r="C5" s="10" t="s">
        <v>137</v>
      </c>
      <c r="D5" s="10" t="s">
        <v>22</v>
      </c>
      <c r="E5" s="10" t="s">
        <v>33</v>
      </c>
      <c r="F5" s="10" t="s">
        <v>23</v>
      </c>
      <c r="G5" s="10">
        <v>70000</v>
      </c>
      <c r="H5" s="10" t="s">
        <v>83</v>
      </c>
      <c r="I5" s="10" t="s">
        <v>84</v>
      </c>
      <c r="J5" s="11">
        <v>0.66319444444444442</v>
      </c>
      <c r="K5" s="12">
        <v>0.68472222222222223</v>
      </c>
      <c r="L5" s="11">
        <v>0.45833333333333331</v>
      </c>
      <c r="M5" s="12">
        <v>0.46666666666666662</v>
      </c>
      <c r="N5" s="10" t="s">
        <v>234</v>
      </c>
      <c r="O5" s="10" t="s">
        <v>228</v>
      </c>
      <c r="P5" s="10">
        <v>968</v>
      </c>
      <c r="Q5" s="10">
        <v>170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9">
        <v>44390</v>
      </c>
      <c r="B6" s="9" t="s">
        <v>21</v>
      </c>
      <c r="C6" s="10" t="s">
        <v>27</v>
      </c>
      <c r="D6" s="10" t="s">
        <v>22</v>
      </c>
      <c r="E6" s="10" t="s">
        <v>193</v>
      </c>
      <c r="F6" s="10" t="s">
        <v>23</v>
      </c>
      <c r="G6" s="10">
        <v>70000</v>
      </c>
      <c r="H6" s="10" t="s">
        <v>28</v>
      </c>
      <c r="I6" s="10" t="s">
        <v>29</v>
      </c>
      <c r="J6" s="11">
        <v>0.95486111111111116</v>
      </c>
      <c r="K6" s="12" t="s">
        <v>103</v>
      </c>
      <c r="L6" s="11">
        <v>0.60069444444444442</v>
      </c>
      <c r="M6" s="12">
        <v>0.63541666666666663</v>
      </c>
      <c r="N6" s="10" t="s">
        <v>237</v>
      </c>
      <c r="O6" s="10" t="s">
        <v>235</v>
      </c>
      <c r="P6" s="10" t="s">
        <v>103</v>
      </c>
      <c r="Q6" s="10">
        <v>382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5">
      <c r="A7" s="9">
        <v>44390</v>
      </c>
      <c r="B7" s="10" t="s">
        <v>21</v>
      </c>
      <c r="C7" s="10" t="s">
        <v>85</v>
      </c>
      <c r="D7" s="10" t="s">
        <v>22</v>
      </c>
      <c r="E7" s="10" t="s">
        <v>33</v>
      </c>
      <c r="F7" s="10" t="s">
        <v>23</v>
      </c>
      <c r="G7" s="10">
        <v>70000</v>
      </c>
      <c r="H7" s="10" t="s">
        <v>86</v>
      </c>
      <c r="I7" s="10" t="s">
        <v>87</v>
      </c>
      <c r="J7" s="12">
        <v>0.89930555555555547</v>
      </c>
      <c r="K7" s="16"/>
      <c r="L7" s="12">
        <v>0.68402777777777779</v>
      </c>
      <c r="M7" s="16">
        <v>0.71944444444444444</v>
      </c>
      <c r="N7" s="17" t="s">
        <v>234</v>
      </c>
      <c r="O7" s="17" t="s">
        <v>236</v>
      </c>
      <c r="P7" s="17">
        <v>1620</v>
      </c>
      <c r="Q7" s="17">
        <v>396</v>
      </c>
      <c r="R7" s="17">
        <v>0</v>
      </c>
      <c r="S7" s="17">
        <v>0</v>
      </c>
      <c r="T7" s="17">
        <v>0</v>
      </c>
      <c r="U7" s="17">
        <v>0</v>
      </c>
    </row>
    <row r="8" spans="1:21" s="19" customFormat="1" x14ac:dyDescent="0.25">
      <c r="A8" s="9">
        <v>44390</v>
      </c>
      <c r="B8" s="10" t="s">
        <v>57</v>
      </c>
      <c r="C8" s="10" t="s">
        <v>58</v>
      </c>
      <c r="D8" s="10" t="s">
        <v>22</v>
      </c>
      <c r="E8" s="10" t="s">
        <v>220</v>
      </c>
      <c r="F8" s="10" t="s">
        <v>181</v>
      </c>
      <c r="G8" s="10">
        <v>77000</v>
      </c>
      <c r="H8" s="10" t="s">
        <v>61</v>
      </c>
      <c r="I8" s="10" t="s">
        <v>62</v>
      </c>
      <c r="J8" s="12">
        <v>0.3298611111111111</v>
      </c>
      <c r="K8" s="12">
        <v>0.32222222222222224</v>
      </c>
      <c r="L8" s="12">
        <v>0.37152777777777773</v>
      </c>
      <c r="M8" s="12">
        <v>0.37222222222222223</v>
      </c>
      <c r="N8" s="10" t="s">
        <v>221</v>
      </c>
      <c r="O8" s="10" t="s">
        <v>224</v>
      </c>
      <c r="P8" s="10">
        <v>2229</v>
      </c>
      <c r="Q8" s="10">
        <v>2000</v>
      </c>
      <c r="R8" s="10">
        <v>0</v>
      </c>
      <c r="S8" s="10">
        <v>0</v>
      </c>
      <c r="T8" s="10">
        <v>0</v>
      </c>
      <c r="U8" s="10">
        <v>0</v>
      </c>
    </row>
    <row r="9" spans="1:21" s="19" customFormat="1" x14ac:dyDescent="0.25">
      <c r="A9" s="9">
        <v>44390</v>
      </c>
      <c r="B9" s="10" t="s">
        <v>229</v>
      </c>
      <c r="C9" s="10" t="s">
        <v>230</v>
      </c>
      <c r="D9" s="10" t="s">
        <v>231</v>
      </c>
      <c r="E9" s="10" t="s">
        <v>232</v>
      </c>
      <c r="F9" s="10" t="s">
        <v>242</v>
      </c>
      <c r="G9" s="10">
        <v>3.1749999999999998</v>
      </c>
      <c r="H9" s="10" t="s">
        <v>103</v>
      </c>
      <c r="I9" s="10" t="s">
        <v>103</v>
      </c>
      <c r="J9" s="12">
        <v>0.60416666666666663</v>
      </c>
      <c r="K9" s="12">
        <v>0.6020833333333333</v>
      </c>
      <c r="L9" s="12">
        <v>0.625</v>
      </c>
      <c r="M9" s="12">
        <v>0.63750000000000007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</row>
    <row r="10" spans="1:21" s="3" customFormat="1" ht="12.75" x14ac:dyDescent="0.2">
      <c r="A10" s="9">
        <v>44390</v>
      </c>
      <c r="B10" s="10" t="s">
        <v>21</v>
      </c>
      <c r="C10" s="10" t="s">
        <v>238</v>
      </c>
      <c r="D10" s="10" t="s">
        <v>22</v>
      </c>
      <c r="E10" s="10" t="s">
        <v>239</v>
      </c>
      <c r="F10" s="10" t="s">
        <v>240</v>
      </c>
      <c r="G10" s="10">
        <v>70000</v>
      </c>
      <c r="H10" s="10" t="s">
        <v>241</v>
      </c>
      <c r="I10" s="10" t="s">
        <v>103</v>
      </c>
      <c r="J10" s="5">
        <v>6.9444444444444441E-3</v>
      </c>
      <c r="K10" s="5">
        <v>0.98472222222222217</v>
      </c>
      <c r="L10" s="3" t="s">
        <v>128</v>
      </c>
      <c r="M10" s="3" t="s">
        <v>128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sqref="A1:XFD1048576"/>
    </sheetView>
  </sheetViews>
  <sheetFormatPr defaultRowHeight="12.75" x14ac:dyDescent="0.2"/>
  <cols>
    <col min="1" max="1" width="14.28515625" style="3" bestFit="1" customWidth="1"/>
    <col min="2" max="2" width="9.140625" style="3"/>
    <col min="3" max="3" width="15.5703125" style="3" customWidth="1"/>
    <col min="4" max="6" width="9.140625" style="3"/>
    <col min="7" max="7" width="9.28515625" style="3" bestFit="1" customWidth="1"/>
    <col min="8" max="9" width="9.140625" style="3"/>
    <col min="10" max="11" width="9.28515625" style="3" bestFit="1" customWidth="1"/>
    <col min="12" max="12" width="9" style="3" customWidth="1"/>
    <col min="13" max="21" width="9.28515625" style="3" bestFit="1" customWidth="1"/>
    <col min="22" max="16384" width="9.140625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9">
        <v>44391</v>
      </c>
      <c r="B2" s="10" t="s">
        <v>21</v>
      </c>
      <c r="C2" s="10" t="s">
        <v>44</v>
      </c>
      <c r="D2" s="10" t="s">
        <v>22</v>
      </c>
      <c r="E2" s="10" t="s">
        <v>239</v>
      </c>
      <c r="F2" s="10" t="s">
        <v>23</v>
      </c>
      <c r="G2" s="10">
        <v>70000</v>
      </c>
      <c r="H2" s="10" t="s">
        <v>46</v>
      </c>
      <c r="I2" s="10" t="s">
        <v>47</v>
      </c>
      <c r="J2" s="11">
        <v>0.45833333333333331</v>
      </c>
      <c r="K2" s="12">
        <v>0.4513888888888889</v>
      </c>
      <c r="L2" s="11">
        <v>0.25694444444444448</v>
      </c>
      <c r="M2" s="12">
        <v>0.25486111111111109</v>
      </c>
      <c r="N2" s="10" t="s">
        <v>252</v>
      </c>
      <c r="O2" s="10" t="s">
        <v>243</v>
      </c>
      <c r="P2" s="10">
        <v>1732</v>
      </c>
      <c r="Q2" s="10">
        <v>524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9">
        <v>44391</v>
      </c>
      <c r="B3" s="10" t="s">
        <v>21</v>
      </c>
      <c r="C3" s="10" t="s">
        <v>48</v>
      </c>
      <c r="D3" s="10" t="s">
        <v>22</v>
      </c>
      <c r="E3" s="10" t="s">
        <v>244</v>
      </c>
      <c r="F3" s="10" t="s">
        <v>23</v>
      </c>
      <c r="G3" s="10">
        <v>70000</v>
      </c>
      <c r="H3" s="10" t="s">
        <v>49</v>
      </c>
      <c r="I3" s="10" t="s">
        <v>50</v>
      </c>
      <c r="J3" s="11">
        <v>0.70833333333333337</v>
      </c>
      <c r="K3" s="12">
        <v>0.73333333333333339</v>
      </c>
      <c r="L3" s="11">
        <v>0.28819444444444448</v>
      </c>
      <c r="M3" s="12">
        <v>0.27777777777777779</v>
      </c>
      <c r="N3" s="10" t="s">
        <v>263</v>
      </c>
      <c r="O3" s="10" t="s">
        <v>245</v>
      </c>
      <c r="P3" s="10">
        <v>1365</v>
      </c>
      <c r="Q3" s="10">
        <v>561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9">
        <v>44391</v>
      </c>
      <c r="B4" s="10" t="s">
        <v>246</v>
      </c>
      <c r="C4" s="10" t="s">
        <v>36</v>
      </c>
      <c r="D4" s="10" t="s">
        <v>125</v>
      </c>
      <c r="E4" s="10" t="s">
        <v>126</v>
      </c>
      <c r="F4" s="10" t="s">
        <v>34</v>
      </c>
      <c r="G4" s="10">
        <v>93000</v>
      </c>
      <c r="H4" s="22"/>
      <c r="I4" s="10" t="s">
        <v>251</v>
      </c>
      <c r="J4" s="21"/>
      <c r="K4" s="21"/>
      <c r="L4" s="12">
        <v>0.32291666666666669</v>
      </c>
      <c r="M4" s="12">
        <v>0.34652777777777777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9">
        <v>44391</v>
      </c>
      <c r="B5" s="10" t="s">
        <v>21</v>
      </c>
      <c r="C5" s="10" t="s">
        <v>247</v>
      </c>
      <c r="D5" s="10" t="s">
        <v>22</v>
      </c>
      <c r="E5" s="10" t="s">
        <v>37</v>
      </c>
      <c r="F5" s="10" t="s">
        <v>248</v>
      </c>
      <c r="G5" s="10">
        <v>70</v>
      </c>
      <c r="H5" s="10" t="s">
        <v>249</v>
      </c>
      <c r="I5" s="10" t="s">
        <v>250</v>
      </c>
      <c r="J5" s="12">
        <v>0.36805555555555558</v>
      </c>
      <c r="K5" s="12">
        <v>0.36458333333333331</v>
      </c>
      <c r="L5" s="12">
        <v>0.47222222222222227</v>
      </c>
      <c r="M5" s="12">
        <v>0.47222222222222227</v>
      </c>
      <c r="N5" s="20">
        <v>13</v>
      </c>
      <c r="O5" s="20">
        <v>13</v>
      </c>
      <c r="P5" s="20">
        <v>13</v>
      </c>
      <c r="Q5" s="10">
        <v>13</v>
      </c>
      <c r="R5" s="10">
        <v>13</v>
      </c>
      <c r="S5" s="10">
        <v>0</v>
      </c>
      <c r="T5" s="10">
        <v>0</v>
      </c>
      <c r="U5" s="10">
        <v>0</v>
      </c>
    </row>
    <row r="6" spans="1:21" x14ac:dyDescent="0.2">
      <c r="A6" s="9">
        <v>44391</v>
      </c>
      <c r="B6" s="10" t="s">
        <v>21</v>
      </c>
      <c r="C6" s="10" t="s">
        <v>51</v>
      </c>
      <c r="D6" s="10" t="s">
        <v>22</v>
      </c>
      <c r="E6" s="10" t="s">
        <v>239</v>
      </c>
      <c r="F6" s="10" t="s">
        <v>23</v>
      </c>
      <c r="G6" s="10">
        <v>70</v>
      </c>
      <c r="H6" s="10" t="s">
        <v>52</v>
      </c>
      <c r="I6" s="10" t="s">
        <v>53</v>
      </c>
      <c r="J6" s="12">
        <v>0.71875</v>
      </c>
      <c r="K6" s="12">
        <v>0.72569444444444453</v>
      </c>
      <c r="L6" s="12">
        <v>0.48958333333333331</v>
      </c>
      <c r="M6" s="12">
        <v>0.49444444444444446</v>
      </c>
      <c r="N6" s="10" t="s">
        <v>262</v>
      </c>
      <c r="O6" s="10" t="s">
        <v>253</v>
      </c>
      <c r="P6" s="10">
        <v>1433</v>
      </c>
      <c r="Q6" s="10">
        <v>564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">
      <c r="A7" s="9">
        <v>44391</v>
      </c>
      <c r="B7" s="10" t="s">
        <v>254</v>
      </c>
      <c r="C7" s="10" t="s">
        <v>255</v>
      </c>
      <c r="D7" s="10" t="s">
        <v>256</v>
      </c>
      <c r="E7" s="10" t="s">
        <v>257</v>
      </c>
      <c r="F7" s="10" t="s">
        <v>248</v>
      </c>
      <c r="G7" s="10">
        <v>22</v>
      </c>
      <c r="H7" s="10" t="s">
        <v>258</v>
      </c>
      <c r="I7" s="10" t="s">
        <v>259</v>
      </c>
      <c r="J7" s="12">
        <v>0.41666666666666669</v>
      </c>
      <c r="K7" s="12">
        <v>0.41319444444444442</v>
      </c>
      <c r="L7" s="12">
        <v>0.41666666666666669</v>
      </c>
      <c r="M7" s="12">
        <v>0.47986111111111113</v>
      </c>
      <c r="N7" s="20">
        <v>0</v>
      </c>
      <c r="O7" s="2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9">
        <v>44391</v>
      </c>
      <c r="B8" s="10" t="s">
        <v>21</v>
      </c>
      <c r="C8" s="10" t="s">
        <v>260</v>
      </c>
      <c r="D8" s="10" t="s">
        <v>22</v>
      </c>
      <c r="E8" s="10" t="s">
        <v>193</v>
      </c>
      <c r="F8" s="10" t="s">
        <v>23</v>
      </c>
      <c r="G8" s="10">
        <v>70</v>
      </c>
      <c r="H8" s="10" t="s">
        <v>28</v>
      </c>
      <c r="I8" s="10" t="s">
        <v>29</v>
      </c>
      <c r="J8" s="12">
        <v>0.64583333333333337</v>
      </c>
      <c r="K8" s="12">
        <v>0.64374999999999993</v>
      </c>
      <c r="L8" s="23"/>
      <c r="M8" s="24"/>
      <c r="N8" s="10" t="s">
        <v>261</v>
      </c>
      <c r="O8" s="22"/>
      <c r="P8" s="10">
        <v>1192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">
      <c r="A9" s="9">
        <v>44391</v>
      </c>
      <c r="B9" s="10" t="s">
        <v>21</v>
      </c>
      <c r="C9" s="10" t="s">
        <v>99</v>
      </c>
      <c r="D9" s="10" t="s">
        <v>22</v>
      </c>
      <c r="E9" s="10" t="s">
        <v>193</v>
      </c>
      <c r="F9" s="10" t="s">
        <v>23</v>
      </c>
      <c r="G9" s="10">
        <v>70</v>
      </c>
      <c r="H9" s="10" t="s">
        <v>106</v>
      </c>
      <c r="I9" s="10" t="s">
        <v>102</v>
      </c>
      <c r="J9" s="12">
        <v>0.96527777777777779</v>
      </c>
      <c r="K9" s="5">
        <v>0.96527777777777779</v>
      </c>
      <c r="L9" s="12">
        <v>0.73958333333333337</v>
      </c>
      <c r="M9" s="12">
        <v>0.73958333333333337</v>
      </c>
      <c r="N9" s="10" t="s">
        <v>264</v>
      </c>
      <c r="O9" s="10">
        <v>37</v>
      </c>
      <c r="P9" s="10">
        <v>1180</v>
      </c>
      <c r="Q9" s="10">
        <v>417</v>
      </c>
      <c r="R9" s="10">
        <v>0</v>
      </c>
      <c r="S9" s="10">
        <v>0</v>
      </c>
      <c r="T9" s="10">
        <v>0</v>
      </c>
      <c r="U9" s="10">
        <v>0</v>
      </c>
    </row>
    <row r="10" spans="1:21" x14ac:dyDescent="0.2">
      <c r="A10" s="9">
        <v>44391</v>
      </c>
      <c r="B10" s="10" t="s">
        <v>21</v>
      </c>
      <c r="C10" s="10" t="s">
        <v>54</v>
      </c>
      <c r="D10" s="10" t="s">
        <v>22</v>
      </c>
      <c r="E10" s="10" t="s">
        <v>239</v>
      </c>
      <c r="F10" s="10" t="s">
        <v>23</v>
      </c>
      <c r="G10" s="10">
        <v>70</v>
      </c>
      <c r="H10" s="10" t="s">
        <v>55</v>
      </c>
      <c r="I10" s="10" t="s">
        <v>56</v>
      </c>
      <c r="J10" s="5">
        <v>0.92013888888888884</v>
      </c>
      <c r="K10" s="5">
        <v>0.93402777777777779</v>
      </c>
      <c r="L10" s="5">
        <v>0.73263888888888884</v>
      </c>
      <c r="M10" s="5">
        <v>0.77083333333333337</v>
      </c>
      <c r="N10" s="3" t="s">
        <v>265</v>
      </c>
      <c r="O10" s="10">
        <v>76</v>
      </c>
      <c r="P10" s="3">
        <v>1383</v>
      </c>
      <c r="Q10" s="10">
        <v>277</v>
      </c>
      <c r="R10" s="10">
        <v>0</v>
      </c>
      <c r="S10" s="10">
        <v>0</v>
      </c>
      <c r="T10" s="10">
        <v>0</v>
      </c>
      <c r="U10" s="10">
        <v>0</v>
      </c>
    </row>
    <row r="11" spans="1:21" x14ac:dyDescent="0.2">
      <c r="A11" s="2">
        <v>44391</v>
      </c>
      <c r="B11" s="3" t="s">
        <v>21</v>
      </c>
      <c r="C11" s="3" t="s">
        <v>266</v>
      </c>
      <c r="D11" s="3" t="s">
        <v>22</v>
      </c>
      <c r="E11" s="3" t="s">
        <v>239</v>
      </c>
      <c r="F11" s="3" t="s">
        <v>248</v>
      </c>
      <c r="G11" s="3">
        <v>70</v>
      </c>
      <c r="I11" s="3" t="s">
        <v>267</v>
      </c>
      <c r="L11" s="5">
        <v>0.95833333333333337</v>
      </c>
      <c r="M11" s="5">
        <v>0.97638888888888886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Q6" sqref="Q6"/>
    </sheetView>
  </sheetViews>
  <sheetFormatPr defaultRowHeight="15" x14ac:dyDescent="0.25"/>
  <cols>
    <col min="3" max="3" width="13.28515625" customWidth="1"/>
    <col min="4" max="4" width="8" customWidth="1"/>
    <col min="6" max="6" width="12" customWidth="1"/>
    <col min="11" max="11" width="11.7109375" customWidth="1"/>
    <col min="13" max="13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25" t="s">
        <v>10</v>
      </c>
      <c r="L1" s="1" t="s">
        <v>11</v>
      </c>
      <c r="M1" s="2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44392</v>
      </c>
      <c r="B2" s="10" t="s">
        <v>21</v>
      </c>
      <c r="C2" s="10" t="s">
        <v>30</v>
      </c>
      <c r="D2" s="10" t="s">
        <v>22</v>
      </c>
      <c r="E2" s="10" t="s">
        <v>193</v>
      </c>
      <c r="F2" s="10" t="s">
        <v>23</v>
      </c>
      <c r="G2" s="10">
        <v>70000</v>
      </c>
      <c r="H2" s="10" t="s">
        <v>31</v>
      </c>
      <c r="I2" s="10" t="s">
        <v>32</v>
      </c>
      <c r="J2" s="11">
        <v>0.46180555555555558</v>
      </c>
      <c r="K2" s="12">
        <v>0.4604166666666667</v>
      </c>
      <c r="L2" s="11">
        <v>0.27083333333333331</v>
      </c>
      <c r="M2" s="5">
        <v>0.27361111111111108</v>
      </c>
      <c r="N2" s="10" t="s">
        <v>273</v>
      </c>
      <c r="O2" s="10" t="s">
        <v>272</v>
      </c>
      <c r="P2" s="10">
        <v>1797</v>
      </c>
      <c r="Q2" s="10">
        <v>490</v>
      </c>
      <c r="R2" s="3">
        <v>0</v>
      </c>
      <c r="S2" s="3">
        <v>0</v>
      </c>
      <c r="T2" s="3">
        <v>0</v>
      </c>
      <c r="U2" s="3">
        <v>0</v>
      </c>
    </row>
    <row r="3" spans="1:21" ht="13.5" customHeight="1" x14ac:dyDescent="0.25">
      <c r="A3" s="9">
        <v>44392</v>
      </c>
      <c r="B3" s="10" t="s">
        <v>21</v>
      </c>
      <c r="C3" s="10" t="s">
        <v>27</v>
      </c>
      <c r="D3" s="10" t="s">
        <v>22</v>
      </c>
      <c r="E3" s="10" t="s">
        <v>268</v>
      </c>
      <c r="F3" s="10" t="s">
        <v>23</v>
      </c>
      <c r="G3" s="10">
        <v>70000</v>
      </c>
      <c r="H3" s="10" t="s">
        <v>28</v>
      </c>
      <c r="I3" s="10" t="s">
        <v>29</v>
      </c>
      <c r="J3" s="4">
        <v>0.42708333333333331</v>
      </c>
      <c r="K3" s="5">
        <v>0.44375000000000003</v>
      </c>
      <c r="L3" s="4">
        <v>0.28125</v>
      </c>
      <c r="M3" s="5">
        <v>0.30069444444444443</v>
      </c>
      <c r="N3" s="3" t="s">
        <v>274</v>
      </c>
      <c r="O3" s="3" t="s">
        <v>157</v>
      </c>
      <c r="P3" s="3">
        <v>1090</v>
      </c>
      <c r="Q3" s="3">
        <v>312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9">
        <v>44392</v>
      </c>
      <c r="B4" s="10" t="s">
        <v>21</v>
      </c>
      <c r="C4" s="10" t="s">
        <v>137</v>
      </c>
      <c r="D4" s="10" t="s">
        <v>22</v>
      </c>
      <c r="E4" s="10" t="s">
        <v>268</v>
      </c>
      <c r="F4" s="10" t="s">
        <v>23</v>
      </c>
      <c r="G4" s="10">
        <v>70000</v>
      </c>
      <c r="H4" s="10" t="s">
        <v>83</v>
      </c>
      <c r="I4" s="10" t="s">
        <v>84</v>
      </c>
      <c r="J4" s="11">
        <v>0.67361111111111116</v>
      </c>
      <c r="K4" s="12">
        <v>0.70694444444444438</v>
      </c>
      <c r="L4" s="11" t="s">
        <v>269</v>
      </c>
      <c r="M4" s="5">
        <v>0.47569444444444442</v>
      </c>
      <c r="N4" s="10" t="s">
        <v>277</v>
      </c>
      <c r="O4" s="3" t="s">
        <v>275</v>
      </c>
      <c r="P4" s="3">
        <v>1187</v>
      </c>
      <c r="Q4" s="3">
        <v>324</v>
      </c>
      <c r="R4" s="3">
        <v>0</v>
      </c>
      <c r="S4" s="3">
        <v>0</v>
      </c>
      <c r="T4" s="3">
        <v>0</v>
      </c>
      <c r="U4" s="3">
        <v>0</v>
      </c>
    </row>
    <row r="5" spans="1:21" ht="15" customHeight="1" x14ac:dyDescent="0.25">
      <c r="A5" s="9">
        <v>44392</v>
      </c>
      <c r="B5" s="10" t="s">
        <v>21</v>
      </c>
      <c r="C5" s="10" t="s">
        <v>24</v>
      </c>
      <c r="D5" s="10" t="s">
        <v>22</v>
      </c>
      <c r="E5" s="10" t="s">
        <v>193</v>
      </c>
      <c r="F5" s="3" t="s">
        <v>23</v>
      </c>
      <c r="G5" s="3">
        <v>70000</v>
      </c>
      <c r="H5" s="10" t="s">
        <v>25</v>
      </c>
      <c r="I5" s="10" t="s">
        <v>26</v>
      </c>
      <c r="J5" s="4">
        <v>0.89930555555555547</v>
      </c>
      <c r="K5" s="5">
        <v>0.89513888888888893</v>
      </c>
      <c r="L5" s="4" t="s">
        <v>270</v>
      </c>
      <c r="M5" s="5">
        <v>0.50972222222222219</v>
      </c>
      <c r="N5" s="10" t="s">
        <v>278</v>
      </c>
      <c r="O5" s="3" t="s">
        <v>276</v>
      </c>
      <c r="P5" s="3">
        <v>1285</v>
      </c>
      <c r="Q5" s="3">
        <v>481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5" customHeight="1" x14ac:dyDescent="0.2">
      <c r="A6" s="9">
        <v>44392</v>
      </c>
      <c r="B6" s="10" t="s">
        <v>21</v>
      </c>
      <c r="C6" s="10" t="s">
        <v>101</v>
      </c>
      <c r="D6" s="10" t="s">
        <v>22</v>
      </c>
      <c r="E6" s="10" t="s">
        <v>268</v>
      </c>
      <c r="F6" s="10" t="s">
        <v>23</v>
      </c>
      <c r="G6" s="10">
        <v>70000</v>
      </c>
      <c r="H6" s="10" t="s">
        <v>105</v>
      </c>
      <c r="I6" s="10" t="s">
        <v>104</v>
      </c>
      <c r="J6" s="4">
        <v>0.90972222222222221</v>
      </c>
      <c r="K6" s="5">
        <v>0.93888888888888899</v>
      </c>
      <c r="L6" s="4" t="s">
        <v>271</v>
      </c>
      <c r="M6" s="5">
        <v>0.73472222222222217</v>
      </c>
      <c r="N6" s="3" t="s">
        <v>252</v>
      </c>
      <c r="O6" s="3" t="s">
        <v>279</v>
      </c>
      <c r="P6" s="3">
        <v>1240</v>
      </c>
      <c r="Q6" s="3">
        <v>484</v>
      </c>
      <c r="R6" s="3">
        <v>0</v>
      </c>
      <c r="S6" s="3">
        <v>0</v>
      </c>
      <c r="T6" s="3">
        <v>0</v>
      </c>
      <c r="U6" s="3">
        <v>0</v>
      </c>
    </row>
    <row r="8" spans="1:21" x14ac:dyDescent="0.25">
      <c r="J8" s="11"/>
    </row>
    <row r="9" spans="1:21" x14ac:dyDescent="0.25">
      <c r="J9" s="4"/>
    </row>
    <row r="10" spans="1:21" x14ac:dyDescent="0.25">
      <c r="J10" s="11"/>
    </row>
    <row r="11" spans="1:21" x14ac:dyDescent="0.25">
      <c r="J11" s="4"/>
    </row>
    <row r="12" spans="1:21" x14ac:dyDescent="0.25">
      <c r="J12" s="4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U1"/>
    </sheetView>
  </sheetViews>
  <sheetFormatPr defaultRowHeight="15" x14ac:dyDescent="0.25"/>
  <cols>
    <col min="1" max="1" width="10.140625" bestFit="1" customWidth="1"/>
    <col min="2" max="2" width="8.5703125" customWidth="1"/>
    <col min="3" max="3" width="15.28515625" customWidth="1"/>
    <col min="4" max="4" width="7" customWidth="1"/>
    <col min="5" max="5" width="15.7109375" bestFit="1" customWidth="1"/>
    <col min="6" max="6" width="11.140625" customWidth="1"/>
    <col min="7" max="7" width="8" customWidth="1"/>
    <col min="8" max="8" width="8.140625" customWidth="1"/>
    <col min="9" max="9" width="8.42578125" customWidth="1"/>
    <col min="10" max="10" width="7.7109375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44393</v>
      </c>
      <c r="B2" s="10" t="s">
        <v>21</v>
      </c>
      <c r="C2" s="10" t="s">
        <v>44</v>
      </c>
      <c r="D2" s="10" t="s">
        <v>22</v>
      </c>
      <c r="E2" s="10" t="s">
        <v>268</v>
      </c>
      <c r="F2" s="3" t="s">
        <v>23</v>
      </c>
      <c r="G2" s="3">
        <v>70000</v>
      </c>
      <c r="H2" s="10" t="s">
        <v>46</v>
      </c>
      <c r="I2" s="10" t="s">
        <v>47</v>
      </c>
      <c r="J2" s="4">
        <v>0.45833333333333331</v>
      </c>
      <c r="K2" s="5">
        <v>0.45347222222222222</v>
      </c>
      <c r="L2" s="4">
        <v>0.25694444444444448</v>
      </c>
      <c r="M2" s="5">
        <v>0.26180555555555557</v>
      </c>
      <c r="N2" s="10" t="s">
        <v>282</v>
      </c>
      <c r="O2" s="3" t="s">
        <v>281</v>
      </c>
      <c r="P2" s="3">
        <v>1620</v>
      </c>
      <c r="Q2" s="3">
        <v>794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9">
        <v>44393</v>
      </c>
      <c r="B3" s="10" t="s">
        <v>21</v>
      </c>
      <c r="C3" s="10" t="s">
        <v>64</v>
      </c>
      <c r="D3" s="10" t="s">
        <v>22</v>
      </c>
      <c r="E3" s="3" t="s">
        <v>210</v>
      </c>
      <c r="F3" s="10" t="s">
        <v>23</v>
      </c>
      <c r="G3" s="10">
        <v>70000</v>
      </c>
      <c r="H3" s="10" t="s">
        <v>66</v>
      </c>
      <c r="I3" s="10" t="s">
        <v>67</v>
      </c>
      <c r="J3" s="11">
        <v>0.4375</v>
      </c>
      <c r="K3" s="12">
        <v>0.43611111111111112</v>
      </c>
      <c r="L3" s="11">
        <v>0.27083333333333331</v>
      </c>
      <c r="M3" s="12">
        <v>0.27569444444444446</v>
      </c>
      <c r="N3" s="10" t="s">
        <v>284</v>
      </c>
      <c r="O3" s="10" t="s">
        <v>283</v>
      </c>
      <c r="P3" s="10">
        <v>1288</v>
      </c>
      <c r="Q3" s="10">
        <v>410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9">
        <v>44393</v>
      </c>
      <c r="B4" s="10" t="s">
        <v>21</v>
      </c>
      <c r="C4" s="10" t="s">
        <v>48</v>
      </c>
      <c r="D4" s="10" t="s">
        <v>22</v>
      </c>
      <c r="E4" s="3" t="s">
        <v>280</v>
      </c>
      <c r="F4" s="10" t="s">
        <v>23</v>
      </c>
      <c r="G4" s="10">
        <v>70000</v>
      </c>
      <c r="H4" s="10" t="s">
        <v>49</v>
      </c>
      <c r="I4" s="10" t="s">
        <v>50</v>
      </c>
      <c r="J4" s="11">
        <v>0.90277777777777779</v>
      </c>
      <c r="K4" s="12">
        <v>0.97291666666666676</v>
      </c>
      <c r="L4" s="11">
        <v>0.46875</v>
      </c>
      <c r="M4" s="12">
        <v>0.48194444444444445</v>
      </c>
      <c r="N4" s="10" t="s">
        <v>290</v>
      </c>
      <c r="O4" s="3" t="s">
        <v>287</v>
      </c>
      <c r="P4" s="3">
        <v>1404</v>
      </c>
      <c r="Q4" s="3">
        <v>877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9">
        <v>44393</v>
      </c>
      <c r="B5" s="10" t="s">
        <v>21</v>
      </c>
      <c r="C5" s="10" t="s">
        <v>51</v>
      </c>
      <c r="D5" s="10" t="s">
        <v>22</v>
      </c>
      <c r="E5" s="10" t="s">
        <v>268</v>
      </c>
      <c r="F5" s="10" t="s">
        <v>23</v>
      </c>
      <c r="G5" s="10">
        <v>70000</v>
      </c>
      <c r="H5" s="10" t="s">
        <v>52</v>
      </c>
      <c r="I5" s="10" t="s">
        <v>53</v>
      </c>
      <c r="J5" s="4">
        <v>0.71875</v>
      </c>
      <c r="K5" s="5">
        <v>0.8027777777777777</v>
      </c>
      <c r="L5" s="4">
        <v>0.48958333333333331</v>
      </c>
      <c r="M5" s="5">
        <v>0.49305555555555558</v>
      </c>
      <c r="N5" s="3" t="s">
        <v>112</v>
      </c>
      <c r="O5" s="3" t="s">
        <v>288</v>
      </c>
      <c r="P5" s="3">
        <v>1857</v>
      </c>
      <c r="Q5" s="3">
        <v>722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9">
        <v>44393</v>
      </c>
      <c r="B6" s="10" t="s">
        <v>21</v>
      </c>
      <c r="C6" s="10" t="s">
        <v>54</v>
      </c>
      <c r="D6" s="10" t="s">
        <v>22</v>
      </c>
      <c r="E6" s="10" t="s">
        <v>268</v>
      </c>
      <c r="F6" s="10" t="s">
        <v>23</v>
      </c>
      <c r="G6" s="10">
        <v>70000</v>
      </c>
      <c r="H6" s="10" t="s">
        <v>55</v>
      </c>
      <c r="I6" s="10" t="s">
        <v>56</v>
      </c>
      <c r="J6" s="11">
        <v>0.92013888888888884</v>
      </c>
      <c r="K6" s="12">
        <v>1.2499999999999999E-2</v>
      </c>
      <c r="L6" s="11">
        <v>0.73958333333333337</v>
      </c>
      <c r="M6" s="12">
        <v>0.84513888888888899</v>
      </c>
      <c r="N6" s="10" t="s">
        <v>291</v>
      </c>
      <c r="O6" s="3" t="s">
        <v>289</v>
      </c>
      <c r="P6" s="3">
        <v>1191</v>
      </c>
      <c r="Q6" s="3">
        <v>1055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9">
        <v>44393</v>
      </c>
      <c r="B7" s="10" t="s">
        <v>57</v>
      </c>
      <c r="C7" s="10" t="s">
        <v>58</v>
      </c>
      <c r="D7" s="10" t="s">
        <v>22</v>
      </c>
      <c r="E7" s="10" t="s">
        <v>59</v>
      </c>
      <c r="F7" s="10" t="s">
        <v>181</v>
      </c>
      <c r="G7" s="10">
        <v>77000</v>
      </c>
      <c r="H7" s="10" t="s">
        <v>61</v>
      </c>
      <c r="I7" s="10" t="s">
        <v>62</v>
      </c>
      <c r="J7" s="11">
        <v>0.3298611111111111</v>
      </c>
      <c r="K7" s="12">
        <v>0.32569444444444445</v>
      </c>
      <c r="L7" s="11">
        <v>0.37152777777777773</v>
      </c>
      <c r="M7" s="12">
        <v>0.37777777777777777</v>
      </c>
      <c r="N7" s="10" t="s">
        <v>286</v>
      </c>
      <c r="O7" s="10" t="s">
        <v>285</v>
      </c>
      <c r="P7" s="10">
        <v>2277</v>
      </c>
      <c r="Q7" s="10">
        <v>1780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9" sqref="I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44394</v>
      </c>
      <c r="B2" s="10" t="s">
        <v>21</v>
      </c>
      <c r="C2" s="10" t="s">
        <v>134</v>
      </c>
      <c r="D2" s="10" t="s">
        <v>22</v>
      </c>
      <c r="E2" s="10" t="s">
        <v>268</v>
      </c>
      <c r="F2" s="10" t="s">
        <v>23</v>
      </c>
      <c r="G2" s="10">
        <v>70000</v>
      </c>
      <c r="H2" s="10" t="s">
        <v>135</v>
      </c>
      <c r="I2" s="10" t="s">
        <v>136</v>
      </c>
      <c r="J2" s="11">
        <v>0.375</v>
      </c>
      <c r="K2" s="12">
        <v>0.4145833333333333</v>
      </c>
      <c r="L2" s="11">
        <v>0.25694444444444448</v>
      </c>
      <c r="M2" s="12">
        <v>0.29930555555555555</v>
      </c>
      <c r="N2" s="10" t="s">
        <v>295</v>
      </c>
      <c r="O2" s="10" t="s">
        <v>293</v>
      </c>
      <c r="P2" s="10">
        <v>715</v>
      </c>
      <c r="Q2" s="10">
        <v>453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44394</v>
      </c>
      <c r="B3" s="10" t="s">
        <v>21</v>
      </c>
      <c r="C3" s="10" t="s">
        <v>24</v>
      </c>
      <c r="D3" s="10" t="s">
        <v>22</v>
      </c>
      <c r="E3" s="10" t="s">
        <v>292</v>
      </c>
      <c r="F3" s="10" t="s">
        <v>23</v>
      </c>
      <c r="G3" s="10">
        <v>70000</v>
      </c>
      <c r="H3" s="10" t="s">
        <v>25</v>
      </c>
      <c r="I3" s="10" t="s">
        <v>26</v>
      </c>
      <c r="J3" s="11">
        <v>0.4375</v>
      </c>
      <c r="K3" s="12">
        <v>0.45277777777777778</v>
      </c>
      <c r="L3" s="11">
        <v>0.27083333333333331</v>
      </c>
      <c r="M3" s="12">
        <v>0.28402777777777777</v>
      </c>
      <c r="N3" s="10" t="s">
        <v>296</v>
      </c>
      <c r="O3" s="10" t="s">
        <v>294</v>
      </c>
      <c r="P3" s="10">
        <v>1768</v>
      </c>
      <c r="Q3" s="10">
        <v>1006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44394</v>
      </c>
      <c r="B4" s="10" t="s">
        <v>21</v>
      </c>
      <c r="C4" s="10" t="s">
        <v>138</v>
      </c>
      <c r="D4" s="10" t="s">
        <v>22</v>
      </c>
      <c r="E4" s="10" t="s">
        <v>268</v>
      </c>
      <c r="F4" s="10" t="s">
        <v>23</v>
      </c>
      <c r="G4" s="10">
        <v>70000</v>
      </c>
      <c r="H4" s="10" t="s">
        <v>80</v>
      </c>
      <c r="I4" s="10" t="s">
        <v>81</v>
      </c>
      <c r="J4" s="11">
        <v>0.57291666666666663</v>
      </c>
      <c r="K4" s="12">
        <v>0.61597222222222225</v>
      </c>
      <c r="L4" s="11">
        <v>0.39583333333333331</v>
      </c>
      <c r="M4" s="12">
        <v>0.48958333333333331</v>
      </c>
      <c r="N4" s="10" t="s">
        <v>299</v>
      </c>
      <c r="O4" s="10" t="s">
        <v>297</v>
      </c>
      <c r="P4" s="10">
        <v>1459</v>
      </c>
      <c r="Q4" s="10">
        <v>1284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9">
        <v>44394</v>
      </c>
      <c r="B5" s="10" t="s">
        <v>21</v>
      </c>
      <c r="C5" s="10" t="s">
        <v>137</v>
      </c>
      <c r="D5" s="10" t="s">
        <v>22</v>
      </c>
      <c r="E5" s="10" t="s">
        <v>292</v>
      </c>
      <c r="F5" s="10" t="s">
        <v>23</v>
      </c>
      <c r="G5" s="10">
        <v>70000</v>
      </c>
      <c r="H5" s="10" t="s">
        <v>83</v>
      </c>
      <c r="I5" s="10" t="s">
        <v>84</v>
      </c>
      <c r="J5" s="11">
        <v>0.67361111111111116</v>
      </c>
      <c r="K5" s="12">
        <v>0.68680555555555556</v>
      </c>
      <c r="L5" s="11">
        <v>0.46875</v>
      </c>
      <c r="M5" s="12">
        <v>0.48958333333333331</v>
      </c>
      <c r="N5" s="10" t="s">
        <v>300</v>
      </c>
      <c r="O5" s="10" t="s">
        <v>298</v>
      </c>
      <c r="P5" s="10">
        <v>1538</v>
      </c>
      <c r="Q5" s="10">
        <v>580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9">
        <v>44394</v>
      </c>
      <c r="B6" s="9" t="s">
        <v>21</v>
      </c>
      <c r="C6" s="10" t="s">
        <v>27</v>
      </c>
      <c r="D6" s="10" t="s">
        <v>22</v>
      </c>
      <c r="E6" s="10" t="s">
        <v>268</v>
      </c>
      <c r="F6" s="10" t="s">
        <v>23</v>
      </c>
      <c r="G6" s="10">
        <v>70000</v>
      </c>
      <c r="H6" s="10" t="s">
        <v>28</v>
      </c>
      <c r="I6" s="10" t="s">
        <v>29</v>
      </c>
      <c r="J6" s="11">
        <v>0.95486111111111116</v>
      </c>
      <c r="K6" s="12">
        <v>0.97291666666666676</v>
      </c>
      <c r="L6" s="11">
        <v>0.60069444444444442</v>
      </c>
      <c r="M6" s="12">
        <v>0.80763888888888891</v>
      </c>
      <c r="N6" s="10" t="s">
        <v>290</v>
      </c>
      <c r="O6" s="10" t="s">
        <v>302</v>
      </c>
      <c r="P6" s="10">
        <v>1234</v>
      </c>
      <c r="Q6" s="10">
        <v>1399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5">
      <c r="A7" s="9">
        <v>44394</v>
      </c>
      <c r="B7" s="10" t="s">
        <v>21</v>
      </c>
      <c r="C7" s="10" t="s">
        <v>85</v>
      </c>
      <c r="D7" s="10" t="s">
        <v>22</v>
      </c>
      <c r="E7" s="10" t="s">
        <v>292</v>
      </c>
      <c r="F7" s="10" t="s">
        <v>23</v>
      </c>
      <c r="G7" s="10">
        <v>70000</v>
      </c>
      <c r="H7" s="10" t="s">
        <v>86</v>
      </c>
      <c r="I7" s="10" t="s">
        <v>87</v>
      </c>
      <c r="J7" s="12">
        <v>0.90972222222222221</v>
      </c>
      <c r="K7" s="12">
        <v>0.92708333333333337</v>
      </c>
      <c r="L7" s="12">
        <v>0.69444444444444453</v>
      </c>
      <c r="M7" s="16">
        <v>0.72291666666666676</v>
      </c>
      <c r="N7" s="17" t="s">
        <v>301</v>
      </c>
      <c r="O7" s="17" t="s">
        <v>303</v>
      </c>
      <c r="P7" s="17">
        <v>1750</v>
      </c>
      <c r="Q7" s="17">
        <v>829</v>
      </c>
      <c r="R7" s="17">
        <v>0</v>
      </c>
      <c r="S7" s="17">
        <v>0</v>
      </c>
      <c r="T7" s="17">
        <v>0</v>
      </c>
      <c r="U7" s="1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8" sqref="A8:XFD8"/>
    </sheetView>
  </sheetViews>
  <sheetFormatPr defaultRowHeight="15" x14ac:dyDescent="0.25"/>
  <cols>
    <col min="1" max="1" width="10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44395</v>
      </c>
      <c r="B2" s="3" t="s">
        <v>133</v>
      </c>
      <c r="C2" s="3" t="s">
        <v>304</v>
      </c>
      <c r="D2" s="3" t="s">
        <v>22</v>
      </c>
      <c r="E2" s="3" t="s">
        <v>292</v>
      </c>
      <c r="F2" s="3" t="s">
        <v>23</v>
      </c>
      <c r="G2" s="14">
        <v>70000</v>
      </c>
      <c r="H2" s="3" t="s">
        <v>305</v>
      </c>
      <c r="I2" s="3" t="s">
        <v>306</v>
      </c>
      <c r="J2" s="5">
        <v>0.38194444444444442</v>
      </c>
      <c r="K2" s="5">
        <v>0.43472222222222223</v>
      </c>
      <c r="L2" s="5">
        <v>0.25694444444444448</v>
      </c>
      <c r="M2" s="5">
        <v>0.29444444444444445</v>
      </c>
      <c r="N2" s="3" t="s">
        <v>308</v>
      </c>
      <c r="O2" s="3" t="s">
        <v>113</v>
      </c>
      <c r="P2" s="3">
        <v>1157</v>
      </c>
      <c r="Q2" s="3">
        <v>308</v>
      </c>
      <c r="R2" s="3">
        <v>0</v>
      </c>
      <c r="S2" s="15">
        <v>0</v>
      </c>
      <c r="T2" s="3">
        <v>0</v>
      </c>
      <c r="U2" s="3">
        <v>0</v>
      </c>
    </row>
    <row r="3" spans="1:21" x14ac:dyDescent="0.25">
      <c r="A3" s="2">
        <v>44395</v>
      </c>
      <c r="B3" s="3" t="s">
        <v>133</v>
      </c>
      <c r="C3" s="3" t="s">
        <v>138</v>
      </c>
      <c r="D3" s="3" t="s">
        <v>22</v>
      </c>
      <c r="E3" s="3" t="s">
        <v>268</v>
      </c>
      <c r="F3" s="3" t="s">
        <v>23</v>
      </c>
      <c r="G3" s="14">
        <v>70000</v>
      </c>
      <c r="H3" s="3" t="s">
        <v>80</v>
      </c>
      <c r="I3" s="3" t="s">
        <v>81</v>
      </c>
      <c r="J3" s="5">
        <v>0.4548611111111111</v>
      </c>
      <c r="K3" s="5">
        <v>0.45208333333333334</v>
      </c>
      <c r="L3" s="5">
        <v>0.27777777777777779</v>
      </c>
      <c r="M3" s="5">
        <v>0.27499999999999997</v>
      </c>
      <c r="N3" s="3" t="s">
        <v>309</v>
      </c>
      <c r="O3" s="3" t="s">
        <v>307</v>
      </c>
      <c r="P3" s="3">
        <v>901</v>
      </c>
      <c r="Q3" s="3">
        <v>425</v>
      </c>
      <c r="R3" s="3">
        <v>0</v>
      </c>
      <c r="S3" s="15">
        <v>0</v>
      </c>
      <c r="T3" s="15">
        <v>0</v>
      </c>
      <c r="U3" s="15">
        <v>0</v>
      </c>
    </row>
    <row r="4" spans="1:21" x14ac:dyDescent="0.25">
      <c r="A4" s="2">
        <v>44395</v>
      </c>
      <c r="B4" s="3" t="s">
        <v>133</v>
      </c>
      <c r="C4" s="3" t="s">
        <v>99</v>
      </c>
      <c r="D4" s="3" t="s">
        <v>22</v>
      </c>
      <c r="E4" s="3" t="s">
        <v>292</v>
      </c>
      <c r="F4" s="3" t="s">
        <v>23</v>
      </c>
      <c r="G4" s="14">
        <v>70000</v>
      </c>
      <c r="H4" s="3" t="s">
        <v>106</v>
      </c>
      <c r="I4" s="3" t="s">
        <v>102</v>
      </c>
      <c r="J4" s="5">
        <v>0.70486111111111116</v>
      </c>
      <c r="K4" s="5">
        <v>0.6777777777777777</v>
      </c>
      <c r="L4" s="5">
        <v>0.46875</v>
      </c>
      <c r="M4" s="5">
        <v>0.47430555555555554</v>
      </c>
      <c r="N4" s="3" t="s">
        <v>316</v>
      </c>
      <c r="O4" s="3" t="s">
        <v>310</v>
      </c>
      <c r="P4" s="3">
        <v>1936</v>
      </c>
      <c r="Q4" s="3">
        <v>972</v>
      </c>
      <c r="R4" s="3">
        <v>0</v>
      </c>
      <c r="S4" s="15">
        <v>0</v>
      </c>
      <c r="T4" s="15">
        <v>0</v>
      </c>
      <c r="U4" s="15">
        <v>0</v>
      </c>
    </row>
    <row r="5" spans="1:21" x14ac:dyDescent="0.25">
      <c r="A5" s="2">
        <v>44395</v>
      </c>
      <c r="B5" s="3" t="s">
        <v>133</v>
      </c>
      <c r="C5" s="3" t="s">
        <v>44</v>
      </c>
      <c r="D5" s="3" t="s">
        <v>22</v>
      </c>
      <c r="E5" s="3" t="s">
        <v>268</v>
      </c>
      <c r="F5" s="3" t="s">
        <v>23</v>
      </c>
      <c r="G5" s="14">
        <v>70000</v>
      </c>
      <c r="H5" s="3" t="s">
        <v>46</v>
      </c>
      <c r="I5" s="3" t="s">
        <v>47</v>
      </c>
      <c r="J5" s="5">
        <v>0.6875</v>
      </c>
      <c r="K5" s="5">
        <v>0.69236111111111109</v>
      </c>
      <c r="L5" s="5">
        <v>0.4861111111111111</v>
      </c>
      <c r="M5" s="5">
        <v>0.48958333333333331</v>
      </c>
      <c r="N5" s="3" t="s">
        <v>317</v>
      </c>
      <c r="O5" s="3" t="s">
        <v>311</v>
      </c>
      <c r="P5" s="3">
        <v>1485</v>
      </c>
      <c r="Q5" s="3">
        <v>319</v>
      </c>
      <c r="R5" s="3">
        <v>0</v>
      </c>
      <c r="S5" s="15">
        <v>0</v>
      </c>
      <c r="T5" s="15">
        <v>0</v>
      </c>
      <c r="U5" s="15">
        <v>0</v>
      </c>
    </row>
    <row r="6" spans="1:21" x14ac:dyDescent="0.25">
      <c r="A6" s="2">
        <v>44395</v>
      </c>
      <c r="B6" s="3" t="s">
        <v>312</v>
      </c>
      <c r="C6" s="3" t="s">
        <v>313</v>
      </c>
      <c r="D6" s="3" t="s">
        <v>314</v>
      </c>
      <c r="E6" s="3" t="s">
        <v>315</v>
      </c>
      <c r="F6" s="3" t="s">
        <v>248</v>
      </c>
      <c r="G6" s="14">
        <v>5669</v>
      </c>
      <c r="H6" s="3" t="s">
        <v>315</v>
      </c>
      <c r="I6" s="3" t="s">
        <v>315</v>
      </c>
      <c r="J6" s="5">
        <v>0.5</v>
      </c>
      <c r="K6" s="5">
        <v>0.47986111111111113</v>
      </c>
      <c r="L6" s="5">
        <v>0.54166666666666663</v>
      </c>
      <c r="M6" s="5">
        <v>0.5444444444444444</v>
      </c>
      <c r="N6" s="26">
        <v>0</v>
      </c>
      <c r="O6" s="26">
        <v>2</v>
      </c>
      <c r="P6" s="26">
        <v>0</v>
      </c>
      <c r="Q6" s="3">
        <v>13</v>
      </c>
      <c r="R6" s="3">
        <v>0</v>
      </c>
      <c r="S6" s="15">
        <v>0</v>
      </c>
      <c r="T6" s="15">
        <v>0</v>
      </c>
      <c r="U6" s="15">
        <v>0</v>
      </c>
    </row>
    <row r="7" spans="1:21" x14ac:dyDescent="0.25">
      <c r="A7" s="2">
        <v>44395</v>
      </c>
      <c r="B7" s="3" t="s">
        <v>133</v>
      </c>
      <c r="C7" s="3" t="s">
        <v>30</v>
      </c>
      <c r="D7" s="3" t="s">
        <v>22</v>
      </c>
      <c r="E7" s="3" t="s">
        <v>268</v>
      </c>
      <c r="F7" s="3" t="s">
        <v>23</v>
      </c>
      <c r="G7" s="14">
        <v>70000</v>
      </c>
      <c r="H7" s="3" t="s">
        <v>31</v>
      </c>
      <c r="I7" s="3" t="s">
        <v>32</v>
      </c>
      <c r="J7" s="5">
        <v>0.90625</v>
      </c>
      <c r="K7" s="5">
        <v>0.90902777777777777</v>
      </c>
      <c r="L7" s="5">
        <v>0.71527777777777779</v>
      </c>
      <c r="M7" s="5">
        <v>0.73125000000000007</v>
      </c>
      <c r="N7" s="3" t="s">
        <v>320</v>
      </c>
      <c r="O7" s="3" t="s">
        <v>318</v>
      </c>
      <c r="P7" s="3">
        <v>1377</v>
      </c>
      <c r="Q7" s="3">
        <v>839</v>
      </c>
      <c r="R7" s="3">
        <v>0</v>
      </c>
      <c r="S7" s="15">
        <v>0</v>
      </c>
      <c r="T7" s="15">
        <v>0</v>
      </c>
      <c r="U7" s="15">
        <v>0</v>
      </c>
    </row>
    <row r="8" spans="1:21" x14ac:dyDescent="0.25">
      <c r="A8" s="2">
        <v>44395</v>
      </c>
      <c r="B8" s="3" t="s">
        <v>133</v>
      </c>
      <c r="C8" s="3" t="s">
        <v>101</v>
      </c>
      <c r="D8" s="3" t="s">
        <v>22</v>
      </c>
      <c r="E8" s="3" t="s">
        <v>292</v>
      </c>
      <c r="F8" s="3" t="s">
        <v>23</v>
      </c>
      <c r="G8" s="14">
        <v>70000</v>
      </c>
      <c r="H8" s="3" t="s">
        <v>105</v>
      </c>
      <c r="I8" s="3" t="s">
        <v>104</v>
      </c>
      <c r="J8" s="5">
        <v>0.94097222222222221</v>
      </c>
      <c r="K8" s="5">
        <v>0.94513888888888886</v>
      </c>
      <c r="L8" s="5">
        <v>0.72569444444444453</v>
      </c>
      <c r="M8" s="5">
        <v>0.7402777777777777</v>
      </c>
      <c r="N8" s="3" t="s">
        <v>321</v>
      </c>
      <c r="O8" s="3" t="s">
        <v>319</v>
      </c>
      <c r="P8" s="3">
        <v>1340</v>
      </c>
      <c r="Q8" s="3">
        <v>667</v>
      </c>
      <c r="R8" s="3">
        <v>0</v>
      </c>
      <c r="S8" s="15">
        <v>0</v>
      </c>
      <c r="T8" s="15">
        <v>0</v>
      </c>
      <c r="U8" s="15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3" sqref="A3:XFD3"/>
    </sheetView>
  </sheetViews>
  <sheetFormatPr defaultRowHeight="15" x14ac:dyDescent="0.25"/>
  <cols>
    <col min="1" max="1" width="8.5703125" customWidth="1"/>
    <col min="2" max="2" width="8.28515625" customWidth="1"/>
    <col min="3" max="3" width="10.42578125" customWidth="1"/>
    <col min="6" max="6" width="12.140625" bestFit="1" customWidth="1"/>
    <col min="10" max="10" width="9" customWidth="1"/>
    <col min="11" max="11" width="8.140625" customWidth="1"/>
    <col min="12" max="12" width="9.5703125" customWidth="1"/>
    <col min="13" max="13" width="10.85546875" bestFit="1" customWidth="1"/>
    <col min="14" max="14" width="13.28515625" customWidth="1"/>
    <col min="15" max="15" width="16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44396</v>
      </c>
      <c r="B2" s="10" t="s">
        <v>21</v>
      </c>
      <c r="C2" s="10" t="s">
        <v>44</v>
      </c>
      <c r="D2" s="10" t="s">
        <v>22</v>
      </c>
      <c r="E2" s="10" t="s">
        <v>322</v>
      </c>
      <c r="F2" s="10" t="s">
        <v>23</v>
      </c>
      <c r="G2" s="10">
        <v>70000</v>
      </c>
      <c r="H2" s="10" t="s">
        <v>46</v>
      </c>
      <c r="I2" s="10" t="s">
        <v>47</v>
      </c>
      <c r="J2" s="11">
        <v>0.45833333333333331</v>
      </c>
      <c r="K2" s="12">
        <v>0.4465277777777778</v>
      </c>
      <c r="L2" s="11">
        <v>0.25694444444444448</v>
      </c>
      <c r="M2" s="12">
        <v>0.25555555555555559</v>
      </c>
      <c r="N2" s="10" t="s">
        <v>326</v>
      </c>
      <c r="O2" s="10" t="s">
        <v>324</v>
      </c>
      <c r="P2" s="10">
        <v>1548</v>
      </c>
      <c r="Q2" s="10">
        <v>584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9">
        <f>A2</f>
        <v>44396</v>
      </c>
      <c r="B3" s="9" t="s">
        <v>21</v>
      </c>
      <c r="C3" s="10" t="s">
        <v>27</v>
      </c>
      <c r="D3" s="10" t="s">
        <v>22</v>
      </c>
      <c r="E3" s="10" t="s">
        <v>323</v>
      </c>
      <c r="F3" s="10" t="s">
        <v>23</v>
      </c>
      <c r="G3" s="10">
        <v>70000</v>
      </c>
      <c r="H3" s="10" t="s">
        <v>28</v>
      </c>
      <c r="I3" s="10" t="s">
        <v>29</v>
      </c>
      <c r="J3" s="11">
        <v>0.41319444444444442</v>
      </c>
      <c r="K3" s="12">
        <v>0.41388888888888892</v>
      </c>
      <c r="L3" s="11">
        <v>0.27083333333333331</v>
      </c>
      <c r="M3" s="12">
        <v>0.27499999999999997</v>
      </c>
      <c r="N3" s="10" t="s">
        <v>327</v>
      </c>
      <c r="O3" s="10" t="s">
        <v>325</v>
      </c>
      <c r="P3" s="10">
        <v>1268</v>
      </c>
      <c r="Q3" s="10">
        <v>170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f>A3</f>
        <v>44396</v>
      </c>
      <c r="B4" s="10" t="s">
        <v>21</v>
      </c>
      <c r="C4" s="10" t="s">
        <v>48</v>
      </c>
      <c r="D4" s="10" t="s">
        <v>22</v>
      </c>
      <c r="E4" s="10" t="str">
        <f>E3</f>
        <v>HALYP</v>
      </c>
      <c r="F4" s="10" t="s">
        <v>23</v>
      </c>
      <c r="G4" s="10">
        <v>70000</v>
      </c>
      <c r="H4" s="10" t="s">
        <v>49</v>
      </c>
      <c r="I4" s="10" t="s">
        <v>50</v>
      </c>
      <c r="J4" s="11">
        <v>0.90277777777777779</v>
      </c>
      <c r="K4" s="12">
        <v>0.90972222222222221</v>
      </c>
      <c r="L4" s="11">
        <v>0.46875</v>
      </c>
      <c r="M4" s="12">
        <v>0.46666666666666662</v>
      </c>
      <c r="N4" s="10" t="s">
        <v>330</v>
      </c>
      <c r="O4" s="10" t="s">
        <v>328</v>
      </c>
      <c r="P4" s="10">
        <v>1612</v>
      </c>
      <c r="Q4" s="10">
        <v>756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9">
        <f>A4</f>
        <v>44396</v>
      </c>
      <c r="B5" s="10" t="s">
        <v>21</v>
      </c>
      <c r="C5" s="10" t="s">
        <v>51</v>
      </c>
      <c r="D5" s="10" t="s">
        <v>22</v>
      </c>
      <c r="E5" s="10" t="str">
        <f>E2</f>
        <v>HALPY</v>
      </c>
      <c r="F5" s="10" t="s">
        <v>23</v>
      </c>
      <c r="G5" s="10">
        <v>70000</v>
      </c>
      <c r="H5" s="10" t="s">
        <v>52</v>
      </c>
      <c r="I5" s="10" t="s">
        <v>53</v>
      </c>
      <c r="J5" s="11">
        <v>0.71875</v>
      </c>
      <c r="K5" s="12">
        <v>0.70833333333333337</v>
      </c>
      <c r="L5" s="11">
        <v>0.48958333333333331</v>
      </c>
      <c r="M5" s="12">
        <v>0.48680555555555555</v>
      </c>
      <c r="N5" s="10" t="s">
        <v>331</v>
      </c>
      <c r="O5" s="10" t="s">
        <v>329</v>
      </c>
      <c r="P5" s="10">
        <v>1696</v>
      </c>
      <c r="Q5" s="10">
        <v>495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9">
        <f>A5</f>
        <v>44396</v>
      </c>
      <c r="B6" s="10" t="s">
        <v>21</v>
      </c>
      <c r="C6" s="10" t="s">
        <v>54</v>
      </c>
      <c r="D6" s="10" t="s">
        <v>22</v>
      </c>
      <c r="E6" s="10" t="str">
        <f>E5</f>
        <v>HALPY</v>
      </c>
      <c r="F6" s="10" t="s">
        <v>23</v>
      </c>
      <c r="G6" s="10">
        <v>70000</v>
      </c>
      <c r="H6" s="10" t="s">
        <v>55</v>
      </c>
      <c r="I6" s="10" t="s">
        <v>56</v>
      </c>
      <c r="J6" s="4">
        <v>0.92013888888888884</v>
      </c>
      <c r="K6" s="5">
        <v>0.91527777777777775</v>
      </c>
      <c r="L6" s="4">
        <v>0.73958333333333337</v>
      </c>
      <c r="M6" s="5">
        <v>0.74305555555555547</v>
      </c>
      <c r="N6" s="3" t="s">
        <v>332</v>
      </c>
      <c r="O6" s="3" t="s">
        <v>333</v>
      </c>
      <c r="P6" s="3">
        <v>1216</v>
      </c>
      <c r="Q6" s="3">
        <v>541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  <ignoredErrors>
    <ignoredError sqref="E5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3" sqref="A3:U6"/>
    </sheetView>
  </sheetViews>
  <sheetFormatPr defaultRowHeight="15" x14ac:dyDescent="0.25"/>
  <cols>
    <col min="2" max="2" width="14.28515625" bestFit="1" customWidth="1"/>
    <col min="3" max="3" width="18.5703125" bestFit="1" customWidth="1"/>
    <col min="6" max="6" width="12.5703125" bestFit="1" customWidth="1"/>
    <col min="10" max="10" width="11" bestFit="1" customWidth="1"/>
    <col min="11" max="11" width="10.855468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44397</v>
      </c>
      <c r="B2" s="10" t="s">
        <v>21</v>
      </c>
      <c r="C2" s="10" t="s">
        <v>134</v>
      </c>
      <c r="D2" s="10" t="s">
        <v>22</v>
      </c>
      <c r="E2" s="10" t="s">
        <v>323</v>
      </c>
      <c r="F2" s="10" t="s">
        <v>23</v>
      </c>
      <c r="G2" s="10">
        <v>70000</v>
      </c>
      <c r="H2" s="10" t="s">
        <v>135</v>
      </c>
      <c r="I2" s="10" t="s">
        <v>136</v>
      </c>
      <c r="J2" s="11">
        <v>0.375</v>
      </c>
      <c r="K2" s="12">
        <v>0.37083333333333335</v>
      </c>
      <c r="L2" s="11">
        <v>0.25694444444444448</v>
      </c>
      <c r="M2" s="12">
        <v>0.26805555555555555</v>
      </c>
      <c r="N2" s="10" t="s">
        <v>339</v>
      </c>
      <c r="O2" s="10" t="s">
        <v>336</v>
      </c>
      <c r="P2" s="10">
        <v>504</v>
      </c>
      <c r="Q2" s="10">
        <v>464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44397</v>
      </c>
      <c r="B3" s="10" t="s">
        <v>21</v>
      </c>
      <c r="C3" s="10" t="s">
        <v>24</v>
      </c>
      <c r="D3" s="10" t="s">
        <v>22</v>
      </c>
      <c r="E3" s="10" t="s">
        <v>322</v>
      </c>
      <c r="F3" s="10" t="s">
        <v>23</v>
      </c>
      <c r="G3" s="10">
        <v>70000</v>
      </c>
      <c r="H3" s="10" t="s">
        <v>25</v>
      </c>
      <c r="I3" s="10" t="s">
        <v>26</v>
      </c>
      <c r="J3" s="11">
        <v>0.4375</v>
      </c>
      <c r="K3" s="12">
        <v>0.44027777777777777</v>
      </c>
      <c r="L3" s="11">
        <v>0.27083333333333331</v>
      </c>
      <c r="M3" s="12">
        <v>0.28125</v>
      </c>
      <c r="N3" s="10" t="s">
        <v>341</v>
      </c>
      <c r="O3" s="10" t="s">
        <v>337</v>
      </c>
      <c r="P3" s="10">
        <v>1431</v>
      </c>
      <c r="Q3" s="10">
        <v>300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44397</v>
      </c>
      <c r="B4" s="10" t="s">
        <v>21</v>
      </c>
      <c r="C4" s="10" t="s">
        <v>138</v>
      </c>
      <c r="D4" s="10" t="s">
        <v>22</v>
      </c>
      <c r="E4" s="10" t="s">
        <v>323</v>
      </c>
      <c r="F4" s="10" t="s">
        <v>23</v>
      </c>
      <c r="G4" s="10">
        <v>70000</v>
      </c>
      <c r="H4" s="10" t="s">
        <v>80</v>
      </c>
      <c r="I4" s="10" t="s">
        <v>81</v>
      </c>
      <c r="J4" s="11">
        <v>0.57291666666666663</v>
      </c>
      <c r="K4" s="12">
        <v>0.57916666666666672</v>
      </c>
      <c r="L4" s="11">
        <v>0.39583333333333331</v>
      </c>
      <c r="M4" s="12">
        <v>0.40833333333333338</v>
      </c>
      <c r="N4" s="10" t="s">
        <v>234</v>
      </c>
      <c r="O4" s="10" t="s">
        <v>340</v>
      </c>
      <c r="P4" s="10">
        <v>1234</v>
      </c>
      <c r="Q4" s="10">
        <v>793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9">
        <v>44397</v>
      </c>
      <c r="B5" s="10" t="s">
        <v>21</v>
      </c>
      <c r="C5" s="10" t="s">
        <v>137</v>
      </c>
      <c r="D5" s="10" t="s">
        <v>22</v>
      </c>
      <c r="E5" s="10" t="s">
        <v>322</v>
      </c>
      <c r="F5" s="10" t="s">
        <v>23</v>
      </c>
      <c r="G5" s="10">
        <v>70000</v>
      </c>
      <c r="H5" s="10" t="s">
        <v>83</v>
      </c>
      <c r="I5" s="10" t="s">
        <v>84</v>
      </c>
      <c r="J5" s="11">
        <v>0.67361111111111116</v>
      </c>
      <c r="K5" s="12">
        <v>0.7006944444444444</v>
      </c>
      <c r="L5" s="11">
        <v>0.46875</v>
      </c>
      <c r="M5" s="12">
        <v>0.47916666666666669</v>
      </c>
      <c r="N5" s="10" t="s">
        <v>344</v>
      </c>
      <c r="O5" s="10" t="s">
        <v>342</v>
      </c>
      <c r="P5" s="10">
        <v>1410</v>
      </c>
      <c r="Q5" s="10">
        <v>294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9">
        <v>44397</v>
      </c>
      <c r="B6" s="9" t="s">
        <v>21</v>
      </c>
      <c r="C6" s="10" t="s">
        <v>27</v>
      </c>
      <c r="D6" s="10" t="s">
        <v>22</v>
      </c>
      <c r="E6" s="10" t="s">
        <v>323</v>
      </c>
      <c r="F6" s="10" t="s">
        <v>23</v>
      </c>
      <c r="G6" s="10">
        <v>70000</v>
      </c>
      <c r="H6" s="10" t="s">
        <v>28</v>
      </c>
      <c r="I6" s="10" t="s">
        <v>29</v>
      </c>
      <c r="J6" s="11">
        <v>0.95486111111111116</v>
      </c>
      <c r="K6" s="12">
        <v>0.96527777777777779</v>
      </c>
      <c r="L6" s="11">
        <v>0.60069444444444442</v>
      </c>
      <c r="M6" s="12">
        <v>0.61249999999999993</v>
      </c>
      <c r="N6" s="10" t="s">
        <v>347</v>
      </c>
      <c r="O6" s="10" t="s">
        <v>343</v>
      </c>
      <c r="P6" s="10">
        <v>992</v>
      </c>
      <c r="Q6" s="10">
        <v>785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5">
      <c r="A7" s="9">
        <v>44397</v>
      </c>
      <c r="B7" s="10" t="s">
        <v>21</v>
      </c>
      <c r="C7" s="10" t="s">
        <v>85</v>
      </c>
      <c r="D7" s="10" t="s">
        <v>22</v>
      </c>
      <c r="E7" s="10" t="s">
        <v>322</v>
      </c>
      <c r="F7" s="10" t="s">
        <v>23</v>
      </c>
      <c r="G7" s="10">
        <v>70000</v>
      </c>
      <c r="H7" s="10" t="s">
        <v>86</v>
      </c>
      <c r="I7" s="10" t="s">
        <v>87</v>
      </c>
      <c r="J7" s="11">
        <v>0.90972222222222221</v>
      </c>
      <c r="K7" s="16">
        <v>0.9277777777777777</v>
      </c>
      <c r="L7" s="11">
        <v>0.69444444444444453</v>
      </c>
      <c r="M7" s="16">
        <v>0.73541666666666661</v>
      </c>
      <c r="N7" s="17" t="s">
        <v>346</v>
      </c>
      <c r="O7" s="17" t="s">
        <v>345</v>
      </c>
      <c r="P7" s="17">
        <v>1619</v>
      </c>
      <c r="Q7" s="17">
        <v>781</v>
      </c>
      <c r="R7" s="17">
        <v>0</v>
      </c>
      <c r="S7" s="17">
        <v>0</v>
      </c>
      <c r="T7" s="17">
        <v>0</v>
      </c>
      <c r="U7" s="17">
        <v>0</v>
      </c>
    </row>
    <row r="8" spans="1:21" s="19" customFormat="1" x14ac:dyDescent="0.25">
      <c r="A8" s="9">
        <v>44397</v>
      </c>
      <c r="B8" s="10" t="s">
        <v>57</v>
      </c>
      <c r="C8" s="10" t="s">
        <v>58</v>
      </c>
      <c r="D8" s="10" t="s">
        <v>22</v>
      </c>
      <c r="E8" s="10" t="s">
        <v>335</v>
      </c>
      <c r="F8" s="10" t="s">
        <v>181</v>
      </c>
      <c r="G8" s="10">
        <v>77000</v>
      </c>
      <c r="H8" s="10" t="s">
        <v>61</v>
      </c>
      <c r="I8" s="10" t="s">
        <v>62</v>
      </c>
      <c r="J8" s="11">
        <v>0.3298611111111111</v>
      </c>
      <c r="K8" s="12">
        <v>0.3215277777777778</v>
      </c>
      <c r="L8" s="11">
        <v>0.37152777777777773</v>
      </c>
      <c r="M8" s="12">
        <v>0.37847222222222227</v>
      </c>
      <c r="N8" s="10" t="s">
        <v>334</v>
      </c>
      <c r="O8" s="10" t="s">
        <v>338</v>
      </c>
      <c r="P8" s="10">
        <v>2362</v>
      </c>
      <c r="Q8" s="10">
        <v>2013</v>
      </c>
      <c r="R8" s="10">
        <v>0</v>
      </c>
      <c r="S8" s="10">
        <v>0</v>
      </c>
      <c r="T8" s="10">
        <v>0</v>
      </c>
      <c r="U8" s="10">
        <v>0</v>
      </c>
    </row>
    <row r="9" spans="1:21" s="19" customFormat="1" x14ac:dyDescent="0.25">
      <c r="A9" s="9"/>
      <c r="B9" s="10"/>
      <c r="C9" s="10"/>
      <c r="D9" s="10"/>
      <c r="E9" s="10"/>
      <c r="F9" s="10"/>
      <c r="G9" s="10"/>
      <c r="H9" s="10"/>
      <c r="I9" s="10"/>
      <c r="J9" s="12"/>
      <c r="K9" s="12"/>
      <c r="L9" s="12"/>
      <c r="M9" s="12"/>
      <c r="N9" s="10"/>
      <c r="O9" s="10"/>
      <c r="P9" s="10"/>
      <c r="Q9" s="10"/>
      <c r="R9" s="10"/>
      <c r="S9" s="10"/>
      <c r="T9" s="10"/>
      <c r="U9" s="10"/>
    </row>
    <row r="10" spans="1:21" s="3" customFormat="1" ht="12.75" x14ac:dyDescent="0.2">
      <c r="A10" s="9"/>
      <c r="B10" s="10"/>
      <c r="C10" s="10"/>
      <c r="D10" s="10"/>
      <c r="E10" s="10"/>
      <c r="F10" s="10"/>
      <c r="G10" s="10"/>
      <c r="H10" s="10"/>
      <c r="I10" s="10"/>
      <c r="J10" s="5"/>
      <c r="K10" s="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G31" sqref="G30:G31"/>
    </sheetView>
  </sheetViews>
  <sheetFormatPr defaultRowHeight="12.75" x14ac:dyDescent="0.2"/>
  <cols>
    <col min="1" max="1" width="14.28515625" style="3" bestFit="1" customWidth="1"/>
    <col min="2" max="2" width="9.140625" style="3"/>
    <col min="3" max="3" width="15.5703125" style="3" customWidth="1"/>
    <col min="4" max="6" width="9.140625" style="3"/>
    <col min="7" max="7" width="9.28515625" style="3" bestFit="1" customWidth="1"/>
    <col min="8" max="9" width="9.140625" style="3"/>
    <col min="10" max="11" width="9.28515625" style="3" bestFit="1" customWidth="1"/>
    <col min="12" max="12" width="9" style="3" customWidth="1"/>
    <col min="13" max="21" width="9.28515625" style="3" bestFit="1" customWidth="1"/>
    <col min="22" max="16384" width="9.140625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9">
        <v>44398</v>
      </c>
      <c r="B2" s="10" t="s">
        <v>21</v>
      </c>
      <c r="C2" s="10" t="s">
        <v>44</v>
      </c>
      <c r="D2" s="10" t="s">
        <v>22</v>
      </c>
      <c r="E2" s="10" t="s">
        <v>292</v>
      </c>
      <c r="F2" s="10" t="s">
        <v>23</v>
      </c>
      <c r="G2" s="10">
        <v>70</v>
      </c>
      <c r="H2" s="10" t="s">
        <v>46</v>
      </c>
      <c r="I2" s="10" t="s">
        <v>47</v>
      </c>
      <c r="J2" s="11">
        <v>0.45833333333333331</v>
      </c>
      <c r="K2" s="12">
        <v>0.44791666666666669</v>
      </c>
      <c r="L2" s="11">
        <v>0.25694444444444448</v>
      </c>
      <c r="M2" s="12">
        <v>0.25694444444444448</v>
      </c>
      <c r="N2" s="10" t="s">
        <v>350</v>
      </c>
      <c r="O2" s="10" t="s">
        <v>348</v>
      </c>
      <c r="P2" s="10">
        <v>1602</v>
      </c>
      <c r="Q2" s="10">
        <v>834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9">
        <v>44398</v>
      </c>
      <c r="B3" s="10" t="s">
        <v>21</v>
      </c>
      <c r="C3" s="10" t="s">
        <v>99</v>
      </c>
      <c r="D3" s="10" t="s">
        <v>22</v>
      </c>
      <c r="E3" s="10" t="s">
        <v>268</v>
      </c>
      <c r="F3" s="10" t="s">
        <v>23</v>
      </c>
      <c r="G3" s="10">
        <v>70</v>
      </c>
      <c r="H3" s="10" t="s">
        <v>106</v>
      </c>
      <c r="I3" s="10" t="s">
        <v>102</v>
      </c>
      <c r="J3" s="12">
        <v>0.48958333333333331</v>
      </c>
      <c r="K3" s="5">
        <v>0.48888888888888887</v>
      </c>
      <c r="L3" s="11">
        <v>0.25694444444444448</v>
      </c>
      <c r="M3" s="12">
        <v>0.26319444444444445</v>
      </c>
      <c r="N3" s="10" t="s">
        <v>351</v>
      </c>
      <c r="O3" s="10" t="s">
        <v>349</v>
      </c>
      <c r="P3" s="10">
        <v>1170</v>
      </c>
      <c r="Q3" s="10">
        <v>671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2">
        <v>44398</v>
      </c>
      <c r="B4" s="3" t="s">
        <v>21</v>
      </c>
      <c r="C4" s="3" t="s">
        <v>51</v>
      </c>
      <c r="D4" s="3" t="s">
        <v>22</v>
      </c>
      <c r="E4" s="3" t="s">
        <v>292</v>
      </c>
      <c r="F4" s="3" t="s">
        <v>23</v>
      </c>
      <c r="G4" s="3">
        <v>70</v>
      </c>
      <c r="H4" s="3" t="s">
        <v>52</v>
      </c>
      <c r="I4" s="3" t="s">
        <v>53</v>
      </c>
      <c r="J4" s="5">
        <v>0.71875</v>
      </c>
      <c r="K4" s="5">
        <v>0.70972222222222225</v>
      </c>
      <c r="L4" s="5">
        <v>0.48958333333333331</v>
      </c>
      <c r="M4" s="5">
        <v>0.48888888888888887</v>
      </c>
      <c r="N4" s="3" t="s">
        <v>353</v>
      </c>
      <c r="O4" s="3" t="s">
        <v>352</v>
      </c>
      <c r="P4" s="3">
        <v>1192</v>
      </c>
      <c r="Q4" s="3">
        <v>845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2">
        <v>44398</v>
      </c>
      <c r="B5" s="3" t="s">
        <v>21</v>
      </c>
      <c r="C5" s="3" t="s">
        <v>48</v>
      </c>
      <c r="D5" s="3" t="s">
        <v>22</v>
      </c>
      <c r="E5" s="3" t="s">
        <v>268</v>
      </c>
      <c r="F5" s="3" t="s">
        <v>23</v>
      </c>
      <c r="G5" s="3">
        <v>70</v>
      </c>
      <c r="H5" s="3" t="s">
        <v>49</v>
      </c>
      <c r="I5" s="3" t="s">
        <v>50</v>
      </c>
      <c r="J5" s="5">
        <v>0.96180555555555547</v>
      </c>
      <c r="K5" s="5">
        <v>0.98402777777777783</v>
      </c>
      <c r="L5" s="5">
        <v>0.52083333333333337</v>
      </c>
      <c r="M5" s="5">
        <v>0.52569444444444446</v>
      </c>
      <c r="N5" s="3" t="s">
        <v>355</v>
      </c>
      <c r="O5" s="3">
        <v>126</v>
      </c>
      <c r="P5" s="3">
        <v>1008</v>
      </c>
      <c r="Q5" s="3">
        <v>555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">
      <c r="A6" s="2">
        <v>44398</v>
      </c>
      <c r="B6" s="3" t="s">
        <v>21</v>
      </c>
      <c r="C6" s="3" t="s">
        <v>54</v>
      </c>
      <c r="D6" s="3" t="s">
        <v>22</v>
      </c>
      <c r="E6" s="3" t="s">
        <v>292</v>
      </c>
      <c r="F6" s="3" t="s">
        <v>23</v>
      </c>
      <c r="G6" s="3">
        <v>70</v>
      </c>
      <c r="H6" s="3" t="s">
        <v>55</v>
      </c>
      <c r="I6" s="3" t="s">
        <v>56</v>
      </c>
      <c r="J6" s="5">
        <v>0.92013888888888884</v>
      </c>
      <c r="K6" s="5">
        <v>0.93680555555555556</v>
      </c>
      <c r="L6" s="5">
        <v>0.73958333333333337</v>
      </c>
      <c r="M6" s="5">
        <v>0.74097222222222225</v>
      </c>
      <c r="N6" s="3" t="s">
        <v>356</v>
      </c>
      <c r="O6" s="3" t="s">
        <v>354</v>
      </c>
      <c r="P6" s="3">
        <v>1174</v>
      </c>
      <c r="Q6" s="3">
        <v>528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">
      <c r="A7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sqref="A1:U7"/>
    </sheetView>
  </sheetViews>
  <sheetFormatPr defaultRowHeight="15" x14ac:dyDescent="0.25"/>
  <cols>
    <col min="1" max="1" width="9.85546875" bestFit="1" customWidth="1"/>
    <col min="7" max="7" width="9.28515625" bestFit="1" customWidth="1"/>
    <col min="10" max="13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44399</v>
      </c>
      <c r="B2" s="10" t="s">
        <v>21</v>
      </c>
      <c r="C2" s="10" t="s">
        <v>24</v>
      </c>
      <c r="D2" s="10" t="s">
        <v>22</v>
      </c>
      <c r="E2" s="10" t="s">
        <v>323</v>
      </c>
      <c r="F2" s="10" t="s">
        <v>23</v>
      </c>
      <c r="G2" s="10">
        <v>70000</v>
      </c>
      <c r="H2" s="10" t="s">
        <v>25</v>
      </c>
      <c r="I2" s="10" t="s">
        <v>26</v>
      </c>
      <c r="J2" s="11">
        <v>0.4375</v>
      </c>
      <c r="K2" s="12">
        <v>0.43611111111111112</v>
      </c>
      <c r="L2" s="11">
        <v>0.27083333333333331</v>
      </c>
      <c r="M2" s="12">
        <v>0.26944444444444443</v>
      </c>
      <c r="N2" s="10" t="s">
        <v>357</v>
      </c>
      <c r="O2" s="10" t="s">
        <v>188</v>
      </c>
      <c r="P2" s="10">
        <v>1101</v>
      </c>
      <c r="Q2" s="10">
        <v>696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44399</v>
      </c>
      <c r="B3" s="10" t="s">
        <v>21</v>
      </c>
      <c r="C3" s="10" t="s">
        <v>138</v>
      </c>
      <c r="D3" s="10" t="s">
        <v>22</v>
      </c>
      <c r="E3" s="10" t="s">
        <v>322</v>
      </c>
      <c r="F3" s="10" t="s">
        <v>23</v>
      </c>
      <c r="G3" s="10">
        <v>70000</v>
      </c>
      <c r="H3" s="10" t="s">
        <v>80</v>
      </c>
      <c r="I3" s="10" t="s">
        <v>81</v>
      </c>
      <c r="J3" s="11">
        <v>0.55208333333333337</v>
      </c>
      <c r="K3" s="12">
        <v>0.55069444444444449</v>
      </c>
      <c r="L3" s="11">
        <v>0.375</v>
      </c>
      <c r="M3" s="12">
        <v>0.38263888888888892</v>
      </c>
      <c r="N3" s="10" t="s">
        <v>261</v>
      </c>
      <c r="O3" s="10" t="s">
        <v>358</v>
      </c>
      <c r="P3" s="10">
        <v>949</v>
      </c>
      <c r="Q3" s="10">
        <v>899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44399</v>
      </c>
      <c r="B4" s="10" t="s">
        <v>21</v>
      </c>
      <c r="C4" s="10" t="s">
        <v>137</v>
      </c>
      <c r="D4" s="10" t="s">
        <v>22</v>
      </c>
      <c r="E4" s="10" t="s">
        <v>323</v>
      </c>
      <c r="F4" s="10" t="s">
        <v>23</v>
      </c>
      <c r="G4" s="10">
        <v>70000</v>
      </c>
      <c r="H4" s="10" t="s">
        <v>83</v>
      </c>
      <c r="I4" s="10" t="s">
        <v>84</v>
      </c>
      <c r="J4" s="11">
        <v>0.67361111111111116</v>
      </c>
      <c r="K4" s="12">
        <v>0.68819444444444444</v>
      </c>
      <c r="L4" s="11">
        <v>0.46875</v>
      </c>
      <c r="M4" s="12">
        <v>0.47013888888888888</v>
      </c>
      <c r="N4" s="10" t="s">
        <v>152</v>
      </c>
      <c r="O4" s="10" t="s">
        <v>359</v>
      </c>
      <c r="P4" s="10">
        <v>1492</v>
      </c>
      <c r="Q4" s="10">
        <v>540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9">
        <v>44399</v>
      </c>
      <c r="B5" s="9" t="s">
        <v>21</v>
      </c>
      <c r="C5" s="10" t="s">
        <v>30</v>
      </c>
      <c r="D5" s="10" t="s">
        <v>22</v>
      </c>
      <c r="E5" s="10" t="s">
        <v>268</v>
      </c>
      <c r="F5" s="10" t="s">
        <v>23</v>
      </c>
      <c r="G5" s="10">
        <v>70000</v>
      </c>
      <c r="H5" s="10" t="s">
        <v>31</v>
      </c>
      <c r="I5" s="10" t="s">
        <v>32</v>
      </c>
      <c r="J5" s="11">
        <v>0.77430555555555547</v>
      </c>
      <c r="K5" s="12">
        <v>0.77847222222222223</v>
      </c>
      <c r="L5" s="11">
        <v>0.58333333333333337</v>
      </c>
      <c r="M5" s="12">
        <v>0.59305555555555556</v>
      </c>
      <c r="N5" s="10" t="s">
        <v>362</v>
      </c>
      <c r="O5" s="10" t="s">
        <v>360</v>
      </c>
      <c r="P5" s="10">
        <v>1430</v>
      </c>
      <c r="Q5" s="10">
        <v>1275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9">
        <v>44399</v>
      </c>
      <c r="B6" s="3" t="s">
        <v>133</v>
      </c>
      <c r="C6" s="3" t="s">
        <v>101</v>
      </c>
      <c r="D6" s="3" t="s">
        <v>22</v>
      </c>
      <c r="E6" s="3" t="s">
        <v>292</v>
      </c>
      <c r="F6" s="3" t="s">
        <v>23</v>
      </c>
      <c r="G6" s="14">
        <v>70000</v>
      </c>
      <c r="H6" s="3" t="s">
        <v>105</v>
      </c>
      <c r="I6" s="3" t="s">
        <v>104</v>
      </c>
      <c r="J6" s="5">
        <v>0.94097222222222221</v>
      </c>
      <c r="K6" s="5">
        <v>0.94444444444444453</v>
      </c>
      <c r="L6" s="5">
        <v>0.72569444444444453</v>
      </c>
      <c r="M6" s="5">
        <v>0.72638888888888886</v>
      </c>
      <c r="N6" s="3" t="s">
        <v>365</v>
      </c>
      <c r="O6" s="3" t="s">
        <v>361</v>
      </c>
      <c r="P6" s="3">
        <v>722</v>
      </c>
      <c r="Q6" s="3">
        <v>637</v>
      </c>
      <c r="R6" s="3">
        <v>0</v>
      </c>
      <c r="S6" s="15">
        <v>0</v>
      </c>
      <c r="T6" s="15">
        <v>0</v>
      </c>
      <c r="U6" s="15">
        <v>0</v>
      </c>
    </row>
    <row r="7" spans="1:21" x14ac:dyDescent="0.25">
      <c r="A7" s="9">
        <f>A6</f>
        <v>44399</v>
      </c>
      <c r="B7" s="9" t="s">
        <v>21</v>
      </c>
      <c r="C7" s="10" t="s">
        <v>27</v>
      </c>
      <c r="D7" s="10" t="s">
        <v>22</v>
      </c>
      <c r="E7" s="10" t="s">
        <v>268</v>
      </c>
      <c r="F7" s="10" t="s">
        <v>23</v>
      </c>
      <c r="G7" s="10">
        <v>70000</v>
      </c>
      <c r="H7" s="10" t="s">
        <v>28</v>
      </c>
      <c r="I7" s="10" t="s">
        <v>29</v>
      </c>
      <c r="J7" s="11">
        <v>0.9375</v>
      </c>
      <c r="K7" s="12">
        <v>0.95000000000000007</v>
      </c>
      <c r="L7" s="11">
        <v>0.79513888888888884</v>
      </c>
      <c r="M7" s="12">
        <v>0.81388888888888899</v>
      </c>
      <c r="N7" s="10" t="s">
        <v>364</v>
      </c>
      <c r="O7" s="10" t="s">
        <v>363</v>
      </c>
      <c r="P7" s="10">
        <v>989</v>
      </c>
      <c r="Q7" s="10">
        <v>689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9">
        <f>A7</f>
        <v>44399</v>
      </c>
      <c r="B8" s="10" t="s">
        <v>366</v>
      </c>
      <c r="C8" s="10" t="s">
        <v>367</v>
      </c>
      <c r="D8" s="10" t="s">
        <v>368</v>
      </c>
      <c r="E8" s="10" t="s">
        <v>370</v>
      </c>
      <c r="F8" s="10" t="s">
        <v>369</v>
      </c>
      <c r="G8" s="10">
        <v>3175</v>
      </c>
      <c r="H8" s="10"/>
      <c r="I8" s="10"/>
      <c r="J8" s="12">
        <v>0.54166666666666663</v>
      </c>
      <c r="K8" s="12">
        <v>0.5541666666666667</v>
      </c>
      <c r="L8" s="12">
        <v>0.5625</v>
      </c>
      <c r="M8" s="12">
        <v>0.57152777777777775</v>
      </c>
      <c r="N8" s="10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B1" sqref="B1:U7"/>
    </sheetView>
  </sheetViews>
  <sheetFormatPr defaultRowHeight="12.75" x14ac:dyDescent="0.2"/>
  <cols>
    <col min="1" max="1" width="10.140625" style="3" bestFit="1" customWidth="1"/>
    <col min="2" max="2" width="8.5703125" style="3" customWidth="1"/>
    <col min="3" max="3" width="15.28515625" style="3" customWidth="1"/>
    <col min="4" max="4" width="7" style="3" customWidth="1"/>
    <col min="5" max="5" width="15.7109375" style="3" bestFit="1" customWidth="1"/>
    <col min="6" max="6" width="11.140625" style="3" customWidth="1"/>
    <col min="7" max="7" width="8" style="3" customWidth="1"/>
    <col min="8" max="8" width="8.140625" style="3" customWidth="1"/>
    <col min="9" max="9" width="8.42578125" style="3" customWidth="1"/>
    <col min="10" max="10" width="7.7109375" style="3" customWidth="1"/>
    <col min="11" max="13" width="9.140625" style="3"/>
    <col min="14" max="15" width="18.42578125" style="3" bestFit="1" customWidth="1"/>
    <col min="16" max="16384" width="9.140625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9">
        <v>44400</v>
      </c>
      <c r="B2" s="10" t="s">
        <v>21</v>
      </c>
      <c r="C2" s="10" t="s">
        <v>44</v>
      </c>
      <c r="D2" s="10" t="s">
        <v>22</v>
      </c>
      <c r="E2" s="10" t="s">
        <v>268</v>
      </c>
      <c r="F2" s="3" t="s">
        <v>23</v>
      </c>
      <c r="G2" s="3">
        <v>70000</v>
      </c>
      <c r="H2" s="10" t="s">
        <v>46</v>
      </c>
      <c r="I2" s="10" t="s">
        <v>47</v>
      </c>
      <c r="J2" s="4">
        <v>0.45833333333333331</v>
      </c>
      <c r="K2" s="5">
        <v>0.44791666666666669</v>
      </c>
      <c r="L2" s="4">
        <v>0.25694444444444448</v>
      </c>
      <c r="M2" s="5">
        <v>0.26180555555555557</v>
      </c>
      <c r="N2" s="10" t="s">
        <v>375</v>
      </c>
      <c r="O2" s="3" t="s">
        <v>373</v>
      </c>
      <c r="P2" s="3">
        <v>1497</v>
      </c>
      <c r="Q2" s="3">
        <v>1311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9">
        <v>44400</v>
      </c>
      <c r="B3" s="10" t="s">
        <v>21</v>
      </c>
      <c r="C3" s="10" t="s">
        <v>64</v>
      </c>
      <c r="D3" s="10" t="s">
        <v>22</v>
      </c>
      <c r="E3" s="3" t="s">
        <v>323</v>
      </c>
      <c r="F3" s="10" t="s">
        <v>23</v>
      </c>
      <c r="G3" s="10">
        <v>70000</v>
      </c>
      <c r="H3" s="10" t="s">
        <v>66</v>
      </c>
      <c r="I3" s="10" t="s">
        <v>67</v>
      </c>
      <c r="J3" s="11">
        <v>0.4375</v>
      </c>
      <c r="K3" s="12">
        <v>0.4381944444444445</v>
      </c>
      <c r="L3" s="11">
        <v>0.27083333333333331</v>
      </c>
      <c r="M3" s="12">
        <v>0.27499999999999997</v>
      </c>
      <c r="N3" s="10" t="s">
        <v>382</v>
      </c>
      <c r="O3" s="10" t="s">
        <v>374</v>
      </c>
      <c r="P3" s="10">
        <v>1129</v>
      </c>
      <c r="Q3" s="10">
        <v>468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9">
        <v>44400</v>
      </c>
      <c r="B4" s="10" t="s">
        <v>21</v>
      </c>
      <c r="C4" s="10" t="s">
        <v>48</v>
      </c>
      <c r="D4" s="10" t="s">
        <v>22</v>
      </c>
      <c r="E4" s="3" t="s">
        <v>323</v>
      </c>
      <c r="F4" s="10" t="s">
        <v>23</v>
      </c>
      <c r="G4" s="10">
        <v>70000</v>
      </c>
      <c r="H4" s="10" t="s">
        <v>49</v>
      </c>
      <c r="I4" s="10" t="s">
        <v>50</v>
      </c>
      <c r="J4" s="11">
        <v>0.90277777777777779</v>
      </c>
      <c r="K4" s="12">
        <v>0.92361111111111116</v>
      </c>
      <c r="L4" s="11">
        <v>0.46875</v>
      </c>
      <c r="M4" s="12">
        <v>0.47916666666666669</v>
      </c>
      <c r="N4" s="10" t="s">
        <v>384</v>
      </c>
      <c r="O4" s="3" t="s">
        <v>383</v>
      </c>
      <c r="P4" s="3">
        <v>1329</v>
      </c>
      <c r="Q4" s="3">
        <v>1208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9">
        <v>44400</v>
      </c>
      <c r="B5" s="10" t="s">
        <v>21</v>
      </c>
      <c r="C5" s="10" t="s">
        <v>51</v>
      </c>
      <c r="D5" s="10" t="s">
        <v>22</v>
      </c>
      <c r="E5" s="10" t="str">
        <f>E2</f>
        <v>HA-LPY</v>
      </c>
      <c r="F5" s="10" t="s">
        <v>23</v>
      </c>
      <c r="G5" s="10">
        <v>70000</v>
      </c>
      <c r="H5" s="10" t="s">
        <v>52</v>
      </c>
      <c r="I5" s="10" t="s">
        <v>53</v>
      </c>
      <c r="J5" s="4">
        <v>0.71875</v>
      </c>
      <c r="K5" s="5">
        <v>0.71666666666666667</v>
      </c>
      <c r="L5" s="4">
        <v>0.48958333333333331</v>
      </c>
      <c r="M5" s="5">
        <v>0.49305555555555558</v>
      </c>
      <c r="N5" s="3" t="s">
        <v>385</v>
      </c>
      <c r="O5" s="3" t="s">
        <v>340</v>
      </c>
      <c r="P5" s="3">
        <v>1339</v>
      </c>
      <c r="Q5" s="3">
        <v>1313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9">
        <v>44400</v>
      </c>
      <c r="B6" s="10" t="s">
        <v>21</v>
      </c>
      <c r="C6" s="10" t="s">
        <v>54</v>
      </c>
      <c r="D6" s="10" t="s">
        <v>22</v>
      </c>
      <c r="E6" s="10" t="s">
        <v>268</v>
      </c>
      <c r="F6" s="10" t="s">
        <v>23</v>
      </c>
      <c r="G6" s="10">
        <v>70000</v>
      </c>
      <c r="H6" s="10" t="s">
        <v>55</v>
      </c>
      <c r="I6" s="10" t="s">
        <v>56</v>
      </c>
      <c r="J6" s="11">
        <v>0.92013888888888884</v>
      </c>
      <c r="K6" s="12">
        <v>0.92013888888888884</v>
      </c>
      <c r="L6" s="11">
        <v>0.73958333333333337</v>
      </c>
      <c r="M6" s="12">
        <v>0.75069444444444444</v>
      </c>
      <c r="N6" s="10" t="s">
        <v>332</v>
      </c>
      <c r="O6" s="3" t="s">
        <v>386</v>
      </c>
      <c r="P6" s="3">
        <v>1471</v>
      </c>
      <c r="Q6" s="3">
        <v>1242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9">
        <v>44400</v>
      </c>
      <c r="B7" s="10" t="s">
        <v>57</v>
      </c>
      <c r="C7" s="10" t="s">
        <v>58</v>
      </c>
      <c r="D7" s="10" t="s">
        <v>22</v>
      </c>
      <c r="E7" s="10" t="s">
        <v>371</v>
      </c>
      <c r="F7" s="10" t="s">
        <v>181</v>
      </c>
      <c r="G7" s="10">
        <v>77000</v>
      </c>
      <c r="H7" s="10" t="s">
        <v>61</v>
      </c>
      <c r="I7" s="10" t="s">
        <v>62</v>
      </c>
      <c r="J7" s="11">
        <v>0.3298611111111111</v>
      </c>
      <c r="K7" s="12">
        <v>0.31736111111111115</v>
      </c>
      <c r="L7" s="11">
        <v>0.37152777777777773</v>
      </c>
      <c r="M7" s="12">
        <f>L7</f>
        <v>0.37152777777777773</v>
      </c>
      <c r="N7" s="10" t="s">
        <v>372</v>
      </c>
      <c r="O7" s="10" t="s">
        <v>290</v>
      </c>
      <c r="P7" s="10">
        <v>2199</v>
      </c>
      <c r="Q7" s="10">
        <v>2198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44400</v>
      </c>
      <c r="B8" s="3" t="s">
        <v>376</v>
      </c>
      <c r="C8" s="3" t="s">
        <v>377</v>
      </c>
      <c r="D8" s="3" t="s">
        <v>378</v>
      </c>
      <c r="E8" s="3" t="s">
        <v>379</v>
      </c>
      <c r="F8" s="3" t="s">
        <v>380</v>
      </c>
      <c r="G8" s="3">
        <v>22000</v>
      </c>
      <c r="H8" s="3" t="s">
        <v>381</v>
      </c>
      <c r="I8" s="3" t="str">
        <f>H8</f>
        <v>IFA1208</v>
      </c>
      <c r="J8" s="4">
        <v>0.40277777777777773</v>
      </c>
      <c r="K8" s="5">
        <v>0.3923611111111111</v>
      </c>
      <c r="L8" s="4">
        <v>0.83333333333333337</v>
      </c>
      <c r="M8" s="5">
        <v>0.96597222222222223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A7"/>
    </sheetView>
  </sheetViews>
  <sheetFormatPr defaultRowHeight="12.75" x14ac:dyDescent="0.2"/>
  <cols>
    <col min="1" max="1" width="10.140625" style="3" bestFit="1" customWidth="1"/>
    <col min="2" max="2" width="27.5703125" style="3" bestFit="1" customWidth="1"/>
    <col min="3" max="3" width="13.28515625" style="3" bestFit="1" customWidth="1"/>
    <col min="4" max="13" width="9.140625" style="3"/>
    <col min="14" max="15" width="18.42578125" style="3" bestFit="1" customWidth="1"/>
    <col min="16" max="16384" width="9.140625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9">
        <v>44401</v>
      </c>
      <c r="B2" s="10" t="s">
        <v>21</v>
      </c>
      <c r="C2" s="10" t="s">
        <v>134</v>
      </c>
      <c r="D2" s="10" t="s">
        <v>22</v>
      </c>
      <c r="E2" s="10" t="s">
        <v>268</v>
      </c>
      <c r="F2" s="10" t="s">
        <v>23</v>
      </c>
      <c r="G2" s="10">
        <v>70000</v>
      </c>
      <c r="H2" s="10" t="s">
        <v>135</v>
      </c>
      <c r="I2" s="10" t="s">
        <v>136</v>
      </c>
      <c r="J2" s="11">
        <v>0.375</v>
      </c>
      <c r="K2" s="12">
        <v>0.43124999999999997</v>
      </c>
      <c r="L2" s="11">
        <v>0.25694444444444448</v>
      </c>
      <c r="M2" s="12">
        <v>0.31736111111111115</v>
      </c>
      <c r="N2" s="10" t="s">
        <v>394</v>
      </c>
      <c r="O2" s="10" t="s">
        <v>393</v>
      </c>
      <c r="P2" s="10">
        <v>779</v>
      </c>
      <c r="Q2" s="10">
        <v>671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9">
        <v>44401</v>
      </c>
      <c r="B3" s="10" t="s">
        <v>21</v>
      </c>
      <c r="C3" s="10" t="s">
        <v>138</v>
      </c>
      <c r="D3" s="10" t="s">
        <v>22</v>
      </c>
      <c r="E3" s="10" t="s">
        <v>387</v>
      </c>
      <c r="F3" s="10" t="s">
        <v>23</v>
      </c>
      <c r="G3" s="10">
        <v>70000</v>
      </c>
      <c r="H3" s="10" t="s">
        <v>80</v>
      </c>
      <c r="I3" s="10" t="s">
        <v>81</v>
      </c>
      <c r="J3" s="11">
        <v>0.4375</v>
      </c>
      <c r="K3" s="12">
        <v>0.49652777777777773</v>
      </c>
      <c r="L3" s="11">
        <v>0.26041666666666669</v>
      </c>
      <c r="M3" s="12">
        <v>0.3215277777777778</v>
      </c>
      <c r="N3" s="10" t="s">
        <v>396</v>
      </c>
      <c r="O3" s="10" t="s">
        <v>395</v>
      </c>
      <c r="P3" s="10">
        <v>1356</v>
      </c>
      <c r="Q3" s="10">
        <v>1221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9">
        <v>44401</v>
      </c>
      <c r="B4" s="10" t="s">
        <v>21</v>
      </c>
      <c r="C4" s="10" t="s">
        <v>24</v>
      </c>
      <c r="D4" s="10" t="s">
        <v>22</v>
      </c>
      <c r="E4" s="10" t="s">
        <v>268</v>
      </c>
      <c r="F4" s="10" t="s">
        <v>23</v>
      </c>
      <c r="G4" s="10">
        <v>70000</v>
      </c>
      <c r="H4" s="10" t="s">
        <v>25</v>
      </c>
      <c r="I4" s="10" t="s">
        <v>26</v>
      </c>
      <c r="J4" s="11">
        <v>0.5625</v>
      </c>
      <c r="K4" s="12">
        <v>0.61736111111111114</v>
      </c>
      <c r="L4" s="11">
        <v>0.39583333333333331</v>
      </c>
      <c r="M4" s="12">
        <v>0.46180555555555558</v>
      </c>
      <c r="N4" s="10" t="s">
        <v>398</v>
      </c>
      <c r="O4" s="10" t="s">
        <v>302</v>
      </c>
      <c r="P4" s="10">
        <v>1496</v>
      </c>
      <c r="Q4" s="10">
        <v>1321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9">
        <v>44401</v>
      </c>
      <c r="B5" s="10" t="s">
        <v>21</v>
      </c>
      <c r="C5" s="10" t="s">
        <v>137</v>
      </c>
      <c r="D5" s="10" t="s">
        <v>22</v>
      </c>
      <c r="E5" s="10" t="s">
        <v>387</v>
      </c>
      <c r="F5" s="10" t="s">
        <v>23</v>
      </c>
      <c r="G5" s="10">
        <v>70000</v>
      </c>
      <c r="H5" s="10" t="s">
        <v>83</v>
      </c>
      <c r="I5" s="10" t="s">
        <v>84</v>
      </c>
      <c r="J5" s="11">
        <v>0.67361111111111116</v>
      </c>
      <c r="K5" s="12">
        <v>0.7583333333333333</v>
      </c>
      <c r="L5" s="11">
        <v>0.46875</v>
      </c>
      <c r="M5" s="12">
        <v>0.53541666666666665</v>
      </c>
      <c r="N5" s="10" t="s">
        <v>401</v>
      </c>
      <c r="O5" s="10" t="s">
        <v>397</v>
      </c>
      <c r="P5" s="10">
        <v>1395</v>
      </c>
      <c r="Q5" s="10">
        <v>1069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">
      <c r="A6" s="9">
        <v>44401</v>
      </c>
      <c r="B6" s="9" t="s">
        <v>21</v>
      </c>
      <c r="C6" s="10" t="s">
        <v>27</v>
      </c>
      <c r="D6" s="10" t="s">
        <v>22</v>
      </c>
      <c r="E6" s="10" t="s">
        <v>268</v>
      </c>
      <c r="F6" s="10" t="s">
        <v>23</v>
      </c>
      <c r="G6" s="10">
        <v>70000</v>
      </c>
      <c r="H6" s="10" t="s">
        <v>28</v>
      </c>
      <c r="I6" s="10" t="s">
        <v>29</v>
      </c>
      <c r="J6" s="11">
        <v>0.94444444444444453</v>
      </c>
      <c r="K6" s="12" t="s">
        <v>94</v>
      </c>
      <c r="L6" s="11">
        <v>0.59375</v>
      </c>
      <c r="M6" s="12">
        <v>0.65625</v>
      </c>
      <c r="N6" s="10" t="s">
        <v>103</v>
      </c>
      <c r="O6" s="10" t="s">
        <v>399</v>
      </c>
      <c r="P6" s="10" t="s">
        <v>103</v>
      </c>
      <c r="Q6" s="10">
        <v>1091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">
      <c r="A7" s="9">
        <v>44401</v>
      </c>
      <c r="B7" s="10" t="s">
        <v>21</v>
      </c>
      <c r="C7" s="10" t="s">
        <v>85</v>
      </c>
      <c r="D7" s="10" t="s">
        <v>22</v>
      </c>
      <c r="E7" s="10" t="s">
        <v>387</v>
      </c>
      <c r="F7" s="10" t="s">
        <v>23</v>
      </c>
      <c r="G7" s="10">
        <v>70000</v>
      </c>
      <c r="H7" s="10" t="s">
        <v>86</v>
      </c>
      <c r="I7" s="10" t="s">
        <v>87</v>
      </c>
      <c r="J7" s="11">
        <v>0.90972222222222221</v>
      </c>
      <c r="K7" s="12">
        <v>0.99444444444444446</v>
      </c>
      <c r="L7" s="11">
        <v>0.69444444444444453</v>
      </c>
      <c r="M7" s="12">
        <v>0.79305555555555562</v>
      </c>
      <c r="N7" s="10" t="s">
        <v>402</v>
      </c>
      <c r="O7" s="10" t="s">
        <v>400</v>
      </c>
      <c r="P7" s="10">
        <v>1960</v>
      </c>
      <c r="Q7" s="10">
        <v>1158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9">
        <v>44401</v>
      </c>
      <c r="B8" s="10" t="s">
        <v>388</v>
      </c>
      <c r="C8" s="10" t="s">
        <v>389</v>
      </c>
      <c r="D8" s="10" t="s">
        <v>390</v>
      </c>
      <c r="E8" s="10" t="s">
        <v>257</v>
      </c>
      <c r="F8" s="10" t="s">
        <v>380</v>
      </c>
      <c r="G8" s="10">
        <v>21863</v>
      </c>
      <c r="H8" s="10" t="s">
        <v>259</v>
      </c>
      <c r="I8" s="10" t="s">
        <v>391</v>
      </c>
      <c r="J8" s="5">
        <v>0.51111111111111118</v>
      </c>
      <c r="K8" s="5">
        <v>0.50486111111111109</v>
      </c>
      <c r="L8" s="5">
        <v>0.54166666666666663</v>
      </c>
      <c r="M8" s="5">
        <v>0.52916666666666667</v>
      </c>
      <c r="N8" s="3" t="s">
        <v>392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2">
        <v>44401</v>
      </c>
      <c r="B9" s="10" t="s">
        <v>21</v>
      </c>
      <c r="C9" s="10" t="s">
        <v>403</v>
      </c>
      <c r="D9" s="10" t="s">
        <v>22</v>
      </c>
      <c r="E9" s="3" t="str">
        <f>E6</f>
        <v>HA-LPY</v>
      </c>
      <c r="F9" s="10" t="s">
        <v>404</v>
      </c>
      <c r="G9" s="10">
        <v>70000</v>
      </c>
      <c r="H9" s="10" t="s">
        <v>405</v>
      </c>
      <c r="I9" s="10" t="s">
        <v>103</v>
      </c>
      <c r="J9" s="5">
        <v>0.95833333333333337</v>
      </c>
      <c r="K9" s="5">
        <v>0.9555555555555556</v>
      </c>
      <c r="L9" s="3" t="s">
        <v>103</v>
      </c>
      <c r="M9" s="3" t="s">
        <v>103</v>
      </c>
      <c r="N9" s="3">
        <v>0</v>
      </c>
      <c r="O9" s="10" t="s">
        <v>103</v>
      </c>
      <c r="P9" s="10">
        <v>0</v>
      </c>
      <c r="Q9" s="10" t="s">
        <v>103</v>
      </c>
      <c r="R9" s="10">
        <v>0</v>
      </c>
      <c r="S9" s="10" t="s">
        <v>103</v>
      </c>
      <c r="T9" s="10">
        <v>0</v>
      </c>
      <c r="U9" s="10" t="s">
        <v>103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>
      <selection activeCell="H6" sqref="H6"/>
    </sheetView>
  </sheetViews>
  <sheetFormatPr defaultRowHeight="15" x14ac:dyDescent="0.25"/>
  <cols>
    <col min="1" max="1" width="11.5703125" customWidth="1"/>
    <col min="3" max="3" width="13.5703125" bestFit="1" customWidth="1"/>
    <col min="4" max="4" width="13.85546875" customWidth="1"/>
    <col min="6" max="6" width="14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9">
        <v>44402</v>
      </c>
      <c r="B2" s="10" t="s">
        <v>21</v>
      </c>
      <c r="C2" s="10" t="s">
        <v>44</v>
      </c>
      <c r="D2" s="10" t="s">
        <v>22</v>
      </c>
      <c r="E2" s="10" t="s">
        <v>387</v>
      </c>
      <c r="F2" s="3" t="s">
        <v>23</v>
      </c>
      <c r="G2" s="3">
        <v>70000</v>
      </c>
      <c r="H2" s="10" t="s">
        <v>46</v>
      </c>
      <c r="I2" s="10" t="s">
        <v>47</v>
      </c>
      <c r="J2" s="4">
        <v>0.45833333333333331</v>
      </c>
      <c r="K2" s="5">
        <v>0.50763888888888886</v>
      </c>
      <c r="L2" s="4">
        <v>0.25694444444444448</v>
      </c>
      <c r="M2" s="5">
        <v>0.32013888888888892</v>
      </c>
      <c r="N2" s="10" t="s">
        <v>410</v>
      </c>
      <c r="O2" s="3" t="s">
        <v>408</v>
      </c>
      <c r="P2" s="3">
        <v>1799</v>
      </c>
      <c r="Q2" s="3">
        <v>844</v>
      </c>
      <c r="R2" s="3">
        <v>0</v>
      </c>
      <c r="S2" s="3">
        <v>0</v>
      </c>
      <c r="T2" s="3">
        <v>0</v>
      </c>
    </row>
    <row r="3" spans="1:20" x14ac:dyDescent="0.25">
      <c r="A3" s="9">
        <v>44402</v>
      </c>
      <c r="B3" s="10" t="s">
        <v>21</v>
      </c>
      <c r="C3" s="10" t="s">
        <v>304</v>
      </c>
      <c r="D3" s="10" t="s">
        <v>22</v>
      </c>
      <c r="E3" s="3" t="s">
        <v>268</v>
      </c>
      <c r="F3" s="10" t="s">
        <v>23</v>
      </c>
      <c r="G3" s="10">
        <v>70000</v>
      </c>
      <c r="H3" s="10" t="s">
        <v>305</v>
      </c>
      <c r="I3" s="10" t="s">
        <v>306</v>
      </c>
      <c r="J3" s="11">
        <v>0.40625</v>
      </c>
      <c r="K3" s="12">
        <v>0.40486111111111112</v>
      </c>
      <c r="L3" s="11">
        <v>0.25694444444444448</v>
      </c>
      <c r="M3" s="12">
        <v>0.25972222222222224</v>
      </c>
      <c r="N3" s="10" t="s">
        <v>409</v>
      </c>
      <c r="O3" s="10" t="s">
        <v>407</v>
      </c>
      <c r="P3" s="10">
        <v>1484</v>
      </c>
      <c r="Q3" s="10">
        <v>335</v>
      </c>
      <c r="R3" s="3">
        <v>0</v>
      </c>
      <c r="S3" s="3">
        <v>0</v>
      </c>
      <c r="T3" s="3">
        <v>0</v>
      </c>
    </row>
    <row r="4" spans="1:20" x14ac:dyDescent="0.25">
      <c r="A4" s="9">
        <v>44402</v>
      </c>
      <c r="B4" s="10" t="s">
        <v>21</v>
      </c>
      <c r="C4" s="10" t="s">
        <v>99</v>
      </c>
      <c r="D4" s="10" t="s">
        <v>22</v>
      </c>
      <c r="E4" s="3" t="s">
        <v>268</v>
      </c>
      <c r="F4" s="10" t="s">
        <v>23</v>
      </c>
      <c r="G4" s="10">
        <v>70000</v>
      </c>
      <c r="H4" s="10" t="s">
        <v>106</v>
      </c>
      <c r="I4" s="10" t="s">
        <v>406</v>
      </c>
      <c r="J4" s="11">
        <v>0.70486111111111116</v>
      </c>
      <c r="K4" s="12">
        <v>0.7680555555555556</v>
      </c>
      <c r="L4" s="11">
        <v>0.46875</v>
      </c>
      <c r="M4" s="12">
        <v>0.55902777777777779</v>
      </c>
      <c r="N4" s="10" t="s">
        <v>400</v>
      </c>
      <c r="O4" s="3" t="s">
        <v>411</v>
      </c>
      <c r="P4" s="3">
        <v>1280</v>
      </c>
      <c r="Q4" s="3">
        <v>1541</v>
      </c>
      <c r="R4" s="3">
        <v>0</v>
      </c>
      <c r="S4" s="3">
        <v>0</v>
      </c>
      <c r="T4" s="3">
        <v>0</v>
      </c>
    </row>
    <row r="5" spans="1:20" x14ac:dyDescent="0.25">
      <c r="A5" s="9">
        <v>44402</v>
      </c>
      <c r="B5" s="10" t="s">
        <v>21</v>
      </c>
      <c r="C5" s="10" t="s">
        <v>30</v>
      </c>
      <c r="D5" s="10" t="s">
        <v>22</v>
      </c>
      <c r="E5" s="10" t="str">
        <f>E2</f>
        <v>HA-LWS</v>
      </c>
      <c r="F5" s="10" t="s">
        <v>23</v>
      </c>
      <c r="G5" s="10">
        <v>70000</v>
      </c>
      <c r="H5" s="10" t="s">
        <v>31</v>
      </c>
      <c r="I5" s="10" t="s">
        <v>32</v>
      </c>
      <c r="J5" s="4">
        <v>0.90625</v>
      </c>
      <c r="K5" s="5">
        <v>0.96458333333333324</v>
      </c>
      <c r="L5" s="4">
        <v>0.4861111111111111</v>
      </c>
      <c r="M5" s="5">
        <v>0.54027777777777775</v>
      </c>
      <c r="N5" s="3" t="s">
        <v>415</v>
      </c>
      <c r="O5" s="3" t="s">
        <v>375</v>
      </c>
      <c r="P5" s="3">
        <v>1521</v>
      </c>
      <c r="Q5" s="3">
        <v>1177</v>
      </c>
      <c r="R5" s="3">
        <v>0</v>
      </c>
      <c r="S5" s="3">
        <v>0</v>
      </c>
      <c r="T5" s="3">
        <v>0</v>
      </c>
    </row>
    <row r="6" spans="1:20" x14ac:dyDescent="0.25">
      <c r="A6" s="9">
        <v>44402</v>
      </c>
      <c r="B6" s="10" t="s">
        <v>21</v>
      </c>
      <c r="C6" s="10" t="s">
        <v>101</v>
      </c>
      <c r="D6" s="10" t="s">
        <v>22</v>
      </c>
      <c r="E6" s="10" t="s">
        <v>35</v>
      </c>
      <c r="F6" s="10" t="s">
        <v>23</v>
      </c>
      <c r="G6" s="10">
        <v>70000</v>
      </c>
      <c r="H6" s="10" t="s">
        <v>105</v>
      </c>
      <c r="I6" s="10" t="s">
        <v>104</v>
      </c>
      <c r="J6" s="11">
        <v>0.94097222222222221</v>
      </c>
      <c r="K6" s="12">
        <v>0.94791666666666663</v>
      </c>
      <c r="L6" s="11">
        <v>0.72569444444444453</v>
      </c>
      <c r="M6" s="12">
        <v>0.72986111111111107</v>
      </c>
      <c r="N6" s="10" t="s">
        <v>416</v>
      </c>
      <c r="O6" s="3" t="s">
        <v>414</v>
      </c>
      <c r="P6" s="3">
        <v>761</v>
      </c>
      <c r="Q6" s="3">
        <v>1163</v>
      </c>
      <c r="R6" s="3">
        <v>0</v>
      </c>
      <c r="S6" s="3">
        <v>0</v>
      </c>
      <c r="T6" s="3">
        <v>0</v>
      </c>
    </row>
    <row r="7" spans="1:20" x14ac:dyDescent="0.25">
      <c r="A7" s="9">
        <v>44402</v>
      </c>
      <c r="B7" s="10" t="s">
        <v>21</v>
      </c>
      <c r="C7" s="10" t="s">
        <v>413</v>
      </c>
      <c r="D7" s="10" t="s">
        <v>22</v>
      </c>
      <c r="E7" s="10" t="s">
        <v>35</v>
      </c>
      <c r="F7" s="10" t="s">
        <v>404</v>
      </c>
      <c r="G7" s="10">
        <v>70000</v>
      </c>
      <c r="H7" s="10" t="s">
        <v>412</v>
      </c>
      <c r="I7" s="10" t="s">
        <v>128</v>
      </c>
      <c r="J7" s="11">
        <v>0.625</v>
      </c>
      <c r="K7" s="12">
        <v>0.62430555555555556</v>
      </c>
      <c r="L7" s="11" t="s">
        <v>128</v>
      </c>
      <c r="M7" s="12" t="s">
        <v>128</v>
      </c>
      <c r="N7" s="10">
        <v>0</v>
      </c>
      <c r="O7" s="10">
        <v>0</v>
      </c>
      <c r="P7" s="10">
        <v>0</v>
      </c>
      <c r="Q7" s="10">
        <v>0</v>
      </c>
      <c r="R7" s="3">
        <v>0</v>
      </c>
      <c r="S7" s="3">
        <v>0</v>
      </c>
      <c r="T7" s="3">
        <v>0</v>
      </c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0" x14ac:dyDescent="0.25">
      <c r="A13" s="10"/>
      <c r="B13" s="10"/>
      <c r="C13" s="10"/>
      <c r="D13" s="10"/>
      <c r="E13" s="3"/>
      <c r="F13" s="3"/>
      <c r="G13" s="10"/>
      <c r="H13" s="10"/>
      <c r="I13" s="4"/>
      <c r="J13" s="5"/>
      <c r="K13" s="4"/>
      <c r="L13" s="5"/>
      <c r="M13" s="10"/>
      <c r="N13" s="3"/>
      <c r="O13" s="3"/>
      <c r="P13" s="3"/>
      <c r="Q13" s="3"/>
      <c r="R13" s="3"/>
      <c r="S13" s="3"/>
    </row>
    <row r="14" spans="1:20" x14ac:dyDescent="0.25">
      <c r="A14" s="10"/>
      <c r="B14" s="10"/>
      <c r="C14" s="10"/>
      <c r="D14" s="3"/>
      <c r="E14" s="10"/>
      <c r="F14" s="10"/>
      <c r="G14" s="10"/>
      <c r="H14" s="10"/>
      <c r="I14" s="11"/>
      <c r="J14" s="12"/>
      <c r="K14" s="11"/>
      <c r="L14" s="12"/>
      <c r="M14" s="10"/>
      <c r="N14" s="10"/>
      <c r="O14" s="10"/>
      <c r="P14" s="10"/>
      <c r="Q14" s="3"/>
      <c r="R14" s="3"/>
      <c r="S14" s="3"/>
    </row>
    <row r="15" spans="1:20" x14ac:dyDescent="0.25">
      <c r="A15" s="10"/>
      <c r="B15" s="10"/>
      <c r="C15" s="10"/>
      <c r="D15" s="3"/>
      <c r="E15" s="10"/>
      <c r="F15" s="10"/>
      <c r="G15" s="10"/>
      <c r="H15" s="10"/>
      <c r="I15" s="11"/>
      <c r="J15" s="12"/>
      <c r="K15" s="11"/>
      <c r="L15" s="12"/>
      <c r="M15" s="10"/>
      <c r="N15" s="3"/>
      <c r="O15" s="3"/>
      <c r="P15" s="3"/>
      <c r="Q15" s="3"/>
      <c r="R15" s="3"/>
      <c r="S15" s="3"/>
    </row>
    <row r="16" spans="1:20" x14ac:dyDescent="0.25">
      <c r="A16" s="10"/>
      <c r="B16" s="10"/>
      <c r="C16" s="10"/>
      <c r="D16" s="10"/>
      <c r="E16" s="10"/>
      <c r="F16" s="10"/>
      <c r="G16" s="10"/>
      <c r="H16" s="10"/>
      <c r="I16" s="4"/>
      <c r="J16" s="5"/>
      <c r="K16" s="4"/>
      <c r="L16" s="5"/>
      <c r="M16" s="3"/>
      <c r="N16" s="3"/>
      <c r="O16" s="3"/>
      <c r="P16" s="3"/>
      <c r="Q16" s="3"/>
      <c r="R16" s="3"/>
      <c r="S16" s="3"/>
    </row>
    <row r="17" spans="1:19" x14ac:dyDescent="0.25">
      <c r="A17" s="10"/>
      <c r="B17" s="10"/>
      <c r="C17" s="10"/>
      <c r="D17" s="10"/>
      <c r="E17" s="10"/>
      <c r="F17" s="10"/>
      <c r="G17" s="10"/>
      <c r="H17" s="10"/>
      <c r="I17" s="11"/>
      <c r="J17" s="12"/>
      <c r="K17" s="11"/>
      <c r="L17" s="12"/>
      <c r="M17" s="10"/>
      <c r="N17" s="3"/>
      <c r="O17" s="3"/>
      <c r="P17" s="3"/>
      <c r="Q17" s="3"/>
      <c r="R17" s="3"/>
      <c r="S17" s="3"/>
    </row>
    <row r="18" spans="1:19" x14ac:dyDescent="0.25">
      <c r="A18" s="10"/>
      <c r="B18" s="10"/>
      <c r="C18" s="10"/>
      <c r="D18" s="10"/>
      <c r="E18" s="10"/>
      <c r="F18" s="10"/>
      <c r="G18" s="10"/>
      <c r="H18" s="10"/>
      <c r="I18" s="11"/>
      <c r="J18" s="12"/>
      <c r="K18" s="11"/>
      <c r="L18" s="12"/>
      <c r="M18" s="10"/>
      <c r="N18" s="10"/>
      <c r="O18" s="10"/>
      <c r="P18" s="10"/>
      <c r="Q18" s="3"/>
      <c r="R18" s="3"/>
      <c r="S18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39" sqref="I39"/>
    </sheetView>
  </sheetViews>
  <sheetFormatPr defaultRowHeight="15" x14ac:dyDescent="0.25"/>
  <cols>
    <col min="1" max="1" width="8.5703125" customWidth="1"/>
    <col min="2" max="2" width="8.28515625" customWidth="1"/>
    <col min="3" max="3" width="10.42578125" customWidth="1"/>
    <col min="6" max="6" width="12.140625" bestFit="1" customWidth="1"/>
    <col min="10" max="10" width="9" customWidth="1"/>
    <col min="11" max="11" width="8.140625" customWidth="1"/>
    <col min="12" max="12" width="9.5703125" customWidth="1"/>
    <col min="13" max="13" width="10.85546875" bestFit="1" customWidth="1"/>
    <col min="14" max="14" width="13.28515625" customWidth="1"/>
    <col min="15" max="15" width="16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44403</v>
      </c>
      <c r="B2" s="10" t="s">
        <v>21</v>
      </c>
      <c r="C2" s="10" t="s">
        <v>44</v>
      </c>
      <c r="D2" s="10" t="s">
        <v>22</v>
      </c>
      <c r="E2" s="10" t="s">
        <v>322</v>
      </c>
      <c r="F2" s="10" t="s">
        <v>23</v>
      </c>
      <c r="G2" s="10">
        <v>70000</v>
      </c>
      <c r="H2" s="10" t="s">
        <v>46</v>
      </c>
      <c r="I2" s="10" t="s">
        <v>47</v>
      </c>
      <c r="J2" s="11">
        <v>0.45833333333333331</v>
      </c>
      <c r="K2" s="12">
        <v>0.44236111111111115</v>
      </c>
      <c r="L2" s="11">
        <v>0.25694444444444448</v>
      </c>
      <c r="M2" s="12">
        <v>0.25625000000000003</v>
      </c>
      <c r="N2" s="10" t="s">
        <v>411</v>
      </c>
      <c r="O2" s="10" t="s">
        <v>421</v>
      </c>
      <c r="P2" s="10">
        <v>1312</v>
      </c>
      <c r="Q2" s="10">
        <v>1492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9">
        <f>A2</f>
        <v>44403</v>
      </c>
      <c r="B3" s="9" t="s">
        <v>21</v>
      </c>
      <c r="C3" s="10" t="s">
        <v>27</v>
      </c>
      <c r="D3" s="10" t="s">
        <v>22</v>
      </c>
      <c r="E3" s="10" t="s">
        <v>417</v>
      </c>
      <c r="F3" s="10" t="s">
        <v>23</v>
      </c>
      <c r="G3" s="10">
        <v>70000</v>
      </c>
      <c r="H3" s="10" t="s">
        <v>28</v>
      </c>
      <c r="I3" s="10" t="s">
        <v>29</v>
      </c>
      <c r="J3" s="11">
        <v>0.41319444444444442</v>
      </c>
      <c r="K3" s="12">
        <v>0.40208333333333335</v>
      </c>
      <c r="L3" s="11">
        <v>0.27083333333333331</v>
      </c>
      <c r="M3" s="12">
        <v>0.2722222222222222</v>
      </c>
      <c r="N3" s="10" t="s">
        <v>423</v>
      </c>
      <c r="O3" s="10" t="s">
        <v>422</v>
      </c>
      <c r="P3" s="10">
        <v>1081</v>
      </c>
      <c r="Q3" s="10">
        <v>369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f>A3</f>
        <v>44403</v>
      </c>
      <c r="B4" s="10" t="s">
        <v>21</v>
      </c>
      <c r="C4" s="10" t="s">
        <v>48</v>
      </c>
      <c r="D4" s="10" t="s">
        <v>22</v>
      </c>
      <c r="E4" s="10" t="s">
        <v>429</v>
      </c>
      <c r="F4" s="10" t="s">
        <v>23</v>
      </c>
      <c r="G4" s="10">
        <v>70000</v>
      </c>
      <c r="H4" s="10" t="s">
        <v>49</v>
      </c>
      <c r="I4" s="10" t="s">
        <v>50</v>
      </c>
      <c r="J4" s="11">
        <v>0.90277777777777779</v>
      </c>
      <c r="K4" s="12">
        <v>0.99305555555555547</v>
      </c>
      <c r="L4" s="11">
        <v>0.46875</v>
      </c>
      <c r="M4" s="12">
        <v>0.48194444444444445</v>
      </c>
      <c r="N4" s="10" t="s">
        <v>430</v>
      </c>
      <c r="O4" s="10" t="s">
        <v>424</v>
      </c>
      <c r="P4" s="10">
        <v>1442</v>
      </c>
      <c r="Q4" s="10">
        <v>1137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9">
        <f>A4</f>
        <v>44403</v>
      </c>
      <c r="B5" s="10" t="s">
        <v>21</v>
      </c>
      <c r="C5" s="10" t="s">
        <v>51</v>
      </c>
      <c r="D5" s="10" t="s">
        <v>22</v>
      </c>
      <c r="E5" s="10" t="str">
        <f>E2</f>
        <v>HALPY</v>
      </c>
      <c r="F5" s="10" t="s">
        <v>23</v>
      </c>
      <c r="G5" s="10">
        <v>70000</v>
      </c>
      <c r="H5" s="10" t="s">
        <v>52</v>
      </c>
      <c r="I5" s="10" t="s">
        <v>53</v>
      </c>
      <c r="J5" s="11">
        <v>0.71875</v>
      </c>
      <c r="K5" s="12">
        <v>0.72986111111111107</v>
      </c>
      <c r="L5" s="11">
        <v>0.48958333333333331</v>
      </c>
      <c r="M5" s="12">
        <v>0.51388888888888895</v>
      </c>
      <c r="N5" s="10" t="s">
        <v>426</v>
      </c>
      <c r="O5" s="10" t="s">
        <v>425</v>
      </c>
      <c r="P5" s="10">
        <v>1257</v>
      </c>
      <c r="Q5" s="10">
        <v>1239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9">
        <f>A5</f>
        <v>44403</v>
      </c>
      <c r="B6" s="10" t="s">
        <v>21</v>
      </c>
      <c r="C6" s="10" t="s">
        <v>54</v>
      </c>
      <c r="D6" s="10" t="s">
        <v>22</v>
      </c>
      <c r="E6" s="10" t="str">
        <f>E5</f>
        <v>HALPY</v>
      </c>
      <c r="F6" s="10" t="s">
        <v>23</v>
      </c>
      <c r="G6" s="10">
        <v>70000</v>
      </c>
      <c r="H6" s="10" t="s">
        <v>55</v>
      </c>
      <c r="I6" s="10" t="s">
        <v>56</v>
      </c>
      <c r="J6" s="4">
        <v>0.92013888888888884</v>
      </c>
      <c r="K6" s="5">
        <v>0.94930555555555562</v>
      </c>
      <c r="L6" s="4">
        <v>0.73958333333333337</v>
      </c>
      <c r="M6" s="5">
        <v>0.76527777777777783</v>
      </c>
      <c r="N6" s="3" t="s">
        <v>428</v>
      </c>
      <c r="O6" s="3" t="s">
        <v>427</v>
      </c>
      <c r="P6" s="3">
        <v>1179</v>
      </c>
      <c r="Q6" s="3">
        <v>632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9">
        <f>A6</f>
        <v>44403</v>
      </c>
      <c r="B7" s="10" t="s">
        <v>21</v>
      </c>
      <c r="C7" s="10" t="s">
        <v>418</v>
      </c>
      <c r="D7" s="10" t="s">
        <v>22</v>
      </c>
      <c r="E7" s="10" t="s">
        <v>35</v>
      </c>
      <c r="F7" s="10" t="s">
        <v>420</v>
      </c>
      <c r="G7" s="10">
        <v>70000</v>
      </c>
      <c r="H7" s="10" t="s">
        <v>103</v>
      </c>
      <c r="I7" s="10" t="s">
        <v>419</v>
      </c>
      <c r="J7" s="4" t="s">
        <v>103</v>
      </c>
      <c r="K7" s="5" t="s">
        <v>103</v>
      </c>
      <c r="L7" s="4">
        <v>0.23958333333333334</v>
      </c>
      <c r="M7" s="5">
        <v>0.24166666666666667</v>
      </c>
      <c r="N7" s="3" t="s">
        <v>103</v>
      </c>
      <c r="O7" s="3">
        <v>0</v>
      </c>
      <c r="P7" s="3" t="s">
        <v>103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I18" sqref="I18"/>
    </sheetView>
  </sheetViews>
  <sheetFormatPr defaultRowHeight="15" x14ac:dyDescent="0.25"/>
  <cols>
    <col min="2" max="2" width="14.28515625" bestFit="1" customWidth="1"/>
    <col min="3" max="3" width="18.5703125" bestFit="1" customWidth="1"/>
    <col min="6" max="6" width="12.5703125" bestFit="1" customWidth="1"/>
    <col min="10" max="10" width="11" bestFit="1" customWidth="1"/>
    <col min="11" max="11" width="10.855468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9">
        <v>44404</v>
      </c>
      <c r="B2" s="10" t="s">
        <v>21</v>
      </c>
      <c r="C2" s="10" t="s">
        <v>134</v>
      </c>
      <c r="D2" s="10" t="s">
        <v>22</v>
      </c>
      <c r="E2" s="10" t="s">
        <v>322</v>
      </c>
      <c r="F2" s="10" t="s">
        <v>23</v>
      </c>
      <c r="G2" s="10">
        <v>70000</v>
      </c>
      <c r="H2" s="10" t="s">
        <v>135</v>
      </c>
      <c r="I2" s="10" t="s">
        <v>136</v>
      </c>
      <c r="J2" s="11">
        <v>0.375</v>
      </c>
      <c r="K2" s="12">
        <v>0.38194444444444442</v>
      </c>
      <c r="L2" s="11">
        <v>0.25694444444444448</v>
      </c>
      <c r="M2" s="12">
        <v>0.26319444444444445</v>
      </c>
      <c r="N2" s="10" t="s">
        <v>434</v>
      </c>
      <c r="O2" s="10" t="s">
        <v>432</v>
      </c>
      <c r="P2" s="10">
        <v>953</v>
      </c>
      <c r="Q2" s="10">
        <v>476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9">
        <v>44404</v>
      </c>
      <c r="B3" s="10" t="s">
        <v>21</v>
      </c>
      <c r="C3" s="10" t="s">
        <v>24</v>
      </c>
      <c r="D3" s="10" t="s">
        <v>22</v>
      </c>
      <c r="E3" s="10" t="s">
        <v>431</v>
      </c>
      <c r="F3" s="10" t="s">
        <v>23</v>
      </c>
      <c r="G3" s="10">
        <v>70000</v>
      </c>
      <c r="H3" s="10" t="s">
        <v>25</v>
      </c>
      <c r="I3" s="10" t="s">
        <v>26</v>
      </c>
      <c r="J3" s="11">
        <v>0.4375</v>
      </c>
      <c r="K3" s="12">
        <v>0.44097222222222227</v>
      </c>
      <c r="L3" s="11">
        <v>0.27083333333333331</v>
      </c>
      <c r="M3" s="12">
        <v>0.28680555555555554</v>
      </c>
      <c r="N3" s="10" t="s">
        <v>435</v>
      </c>
      <c r="O3" s="10" t="s">
        <v>433</v>
      </c>
      <c r="P3" s="10">
        <v>1415</v>
      </c>
      <c r="Q3" s="10">
        <v>817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9">
        <v>44404</v>
      </c>
      <c r="B4" s="10" t="s">
        <v>21</v>
      </c>
      <c r="C4" s="10" t="s">
        <v>138</v>
      </c>
      <c r="D4" s="10" t="s">
        <v>22</v>
      </c>
      <c r="E4" s="10" t="s">
        <v>322</v>
      </c>
      <c r="F4" s="10" t="s">
        <v>23</v>
      </c>
      <c r="G4" s="10">
        <v>70000</v>
      </c>
      <c r="H4" s="10" t="s">
        <v>80</v>
      </c>
      <c r="I4" s="10" t="s">
        <v>81</v>
      </c>
      <c r="J4" s="11">
        <v>0.57291666666666663</v>
      </c>
      <c r="K4" s="12">
        <v>0.60069444444444442</v>
      </c>
      <c r="L4" s="11">
        <v>0.39583333333333331</v>
      </c>
      <c r="M4" s="12">
        <v>0.43263888888888885</v>
      </c>
      <c r="N4" s="10" t="s">
        <v>439</v>
      </c>
      <c r="O4" s="10" t="s">
        <v>436</v>
      </c>
      <c r="P4" s="10">
        <v>936</v>
      </c>
      <c r="Q4" s="10">
        <v>1366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9">
        <v>44404</v>
      </c>
      <c r="B5" s="10" t="s">
        <v>21</v>
      </c>
      <c r="C5" s="10" t="s">
        <v>137</v>
      </c>
      <c r="D5" s="10" t="s">
        <v>22</v>
      </c>
      <c r="E5" s="10" t="s">
        <v>431</v>
      </c>
      <c r="F5" s="10" t="s">
        <v>23</v>
      </c>
      <c r="G5" s="10">
        <v>70000</v>
      </c>
      <c r="H5" s="10" t="s">
        <v>83</v>
      </c>
      <c r="I5" s="10" t="s">
        <v>84</v>
      </c>
      <c r="J5" s="11">
        <v>0.67361111111111116</v>
      </c>
      <c r="K5" s="12">
        <v>0.6743055555555556</v>
      </c>
      <c r="L5" s="11">
        <v>0.46875</v>
      </c>
      <c r="M5" s="12">
        <v>0.47361111111111115</v>
      </c>
      <c r="N5" s="10" t="s">
        <v>263</v>
      </c>
      <c r="O5" s="10" t="s">
        <v>438</v>
      </c>
      <c r="P5" s="10">
        <v>1286</v>
      </c>
      <c r="Q5" s="10">
        <v>505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9">
        <v>44404</v>
      </c>
      <c r="B6" s="9" t="s">
        <v>21</v>
      </c>
      <c r="C6" s="10" t="s">
        <v>27</v>
      </c>
      <c r="D6" s="10" t="s">
        <v>22</v>
      </c>
      <c r="E6" s="10" t="s">
        <v>322</v>
      </c>
      <c r="F6" s="10" t="s">
        <v>23</v>
      </c>
      <c r="G6" s="10">
        <v>70000</v>
      </c>
      <c r="H6" s="10" t="s">
        <v>28</v>
      </c>
      <c r="I6" s="10" t="s">
        <v>29</v>
      </c>
      <c r="J6" s="11">
        <v>0.95486111111111116</v>
      </c>
      <c r="K6" s="12">
        <v>0.9868055555555556</v>
      </c>
      <c r="L6" s="11">
        <v>0.60069444444444442</v>
      </c>
      <c r="M6" s="12">
        <v>0.63541666666666663</v>
      </c>
      <c r="N6" s="10" t="s">
        <v>448</v>
      </c>
      <c r="O6" s="10" t="s">
        <v>440</v>
      </c>
      <c r="P6" s="10">
        <v>1096</v>
      </c>
      <c r="Q6" s="10">
        <v>705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5">
      <c r="A7" s="9">
        <v>44404</v>
      </c>
      <c r="B7" s="10" t="s">
        <v>21</v>
      </c>
      <c r="C7" s="10" t="s">
        <v>85</v>
      </c>
      <c r="D7" s="10" t="s">
        <v>22</v>
      </c>
      <c r="E7" s="10" t="s">
        <v>431</v>
      </c>
      <c r="F7" s="10" t="s">
        <v>23</v>
      </c>
      <c r="G7" s="10">
        <v>70000</v>
      </c>
      <c r="H7" s="10" t="s">
        <v>86</v>
      </c>
      <c r="I7" s="10" t="s">
        <v>87</v>
      </c>
      <c r="J7" s="11">
        <v>0.90972222222222221</v>
      </c>
      <c r="K7" s="12">
        <v>0.92638888888888893</v>
      </c>
      <c r="L7" s="11">
        <v>0.69444444444444453</v>
      </c>
      <c r="M7" s="12">
        <v>0.71250000000000002</v>
      </c>
      <c r="N7" s="10" t="s">
        <v>446</v>
      </c>
      <c r="O7" s="10" t="s">
        <v>445</v>
      </c>
      <c r="P7" s="10">
        <v>816</v>
      </c>
      <c r="Q7" s="10">
        <v>1604</v>
      </c>
      <c r="R7" s="17">
        <v>0</v>
      </c>
      <c r="S7" s="17">
        <v>0</v>
      </c>
      <c r="T7" s="17">
        <v>0</v>
      </c>
      <c r="U7" s="17">
        <v>0</v>
      </c>
    </row>
    <row r="8" spans="1:21" s="19" customFormat="1" x14ac:dyDescent="0.25">
      <c r="A8" s="9">
        <v>44404</v>
      </c>
      <c r="B8" s="10" t="s">
        <v>57</v>
      </c>
      <c r="C8" s="10" t="s">
        <v>58</v>
      </c>
      <c r="D8" s="10" t="s">
        <v>22</v>
      </c>
      <c r="E8" s="10" t="s">
        <v>335</v>
      </c>
      <c r="F8" s="10" t="s">
        <v>181</v>
      </c>
      <c r="G8" s="10">
        <v>77000</v>
      </c>
      <c r="H8" s="10" t="s">
        <v>61</v>
      </c>
      <c r="I8" s="10" t="s">
        <v>62</v>
      </c>
      <c r="J8" s="11">
        <v>0.3298611111111111</v>
      </c>
      <c r="K8" s="12">
        <v>0.31944444444444448</v>
      </c>
      <c r="L8" s="11">
        <v>0.37152777777777773</v>
      </c>
      <c r="M8" s="12">
        <v>0.42291666666666666</v>
      </c>
      <c r="N8" s="10" t="s">
        <v>338</v>
      </c>
      <c r="O8" s="10" t="s">
        <v>437</v>
      </c>
      <c r="P8" s="10">
        <v>2244</v>
      </c>
      <c r="Q8" s="10">
        <v>2291</v>
      </c>
      <c r="R8" s="10">
        <v>0</v>
      </c>
      <c r="S8" s="10">
        <v>0</v>
      </c>
      <c r="T8" s="10">
        <v>0</v>
      </c>
      <c r="U8" s="10">
        <v>0</v>
      </c>
    </row>
    <row r="9" spans="1:21" s="19" customFormat="1" x14ac:dyDescent="0.25">
      <c r="A9" s="9">
        <v>44404</v>
      </c>
      <c r="B9" s="10" t="s">
        <v>441</v>
      </c>
      <c r="C9" s="10" t="s">
        <v>442</v>
      </c>
      <c r="D9" s="10" t="s">
        <v>443</v>
      </c>
      <c r="E9" s="10" t="s">
        <v>444</v>
      </c>
      <c r="F9" s="10" t="s">
        <v>140</v>
      </c>
      <c r="G9" s="10">
        <v>2000</v>
      </c>
      <c r="H9" s="27"/>
      <c r="I9" s="27"/>
      <c r="J9" s="12">
        <v>0.40625</v>
      </c>
      <c r="K9" s="12">
        <v>0.41666666666666669</v>
      </c>
      <c r="L9" s="12">
        <v>0.75</v>
      </c>
      <c r="M9" s="12">
        <v>0.64097222222222217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</row>
    <row r="10" spans="1:21" s="3" customFormat="1" ht="12.75" x14ac:dyDescent="0.2">
      <c r="A10" s="9">
        <v>44404</v>
      </c>
      <c r="B10" s="10" t="s">
        <v>366</v>
      </c>
      <c r="C10" s="10" t="s">
        <v>230</v>
      </c>
      <c r="D10" s="10" t="s">
        <v>368</v>
      </c>
      <c r="E10" s="10" t="s">
        <v>370</v>
      </c>
      <c r="F10" s="10" t="s">
        <v>447</v>
      </c>
      <c r="G10" s="10">
        <v>3175</v>
      </c>
      <c r="H10" s="27"/>
      <c r="I10" s="27"/>
      <c r="J10" s="5">
        <v>0.74305555555555547</v>
      </c>
      <c r="K10" s="5">
        <v>0.73055555555555562</v>
      </c>
      <c r="L10" s="5">
        <v>0.75694444444444453</v>
      </c>
      <c r="M10" s="5">
        <v>0.74583333333333324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2.75" x14ac:dyDescent="0.2"/>
  <cols>
    <col min="1" max="1" width="14.28515625" style="3" bestFit="1" customWidth="1"/>
    <col min="2" max="2" width="9.140625" style="3"/>
    <col min="3" max="3" width="15.5703125" style="3" customWidth="1"/>
    <col min="4" max="6" width="9.140625" style="3"/>
    <col min="7" max="7" width="9.28515625" style="3" bestFit="1" customWidth="1"/>
    <col min="8" max="9" width="9.140625" style="3"/>
    <col min="10" max="10" width="9.28515625" style="3" bestFit="1" customWidth="1"/>
    <col min="11" max="11" width="10.85546875" style="3" bestFit="1" customWidth="1"/>
    <col min="12" max="12" width="9" style="3" customWidth="1"/>
    <col min="13" max="21" width="9.28515625" style="3" bestFit="1" customWidth="1"/>
    <col min="22" max="16384" width="9.140625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9">
        <v>44405</v>
      </c>
      <c r="B2" s="10" t="s">
        <v>21</v>
      </c>
      <c r="C2" s="10" t="s">
        <v>44</v>
      </c>
      <c r="D2" s="10" t="s">
        <v>22</v>
      </c>
      <c r="E2" s="10" t="s">
        <v>449</v>
      </c>
      <c r="F2" s="10" t="s">
        <v>23</v>
      </c>
      <c r="G2" s="10">
        <v>70</v>
      </c>
      <c r="H2" s="10" t="s">
        <v>46</v>
      </c>
      <c r="I2" s="10" t="s">
        <v>47</v>
      </c>
      <c r="J2" s="11">
        <v>0.45833333333333331</v>
      </c>
      <c r="K2" s="12">
        <v>0.47222222222222227</v>
      </c>
      <c r="L2" s="11">
        <v>0.25694444444444448</v>
      </c>
      <c r="M2" s="12">
        <v>0.28541666666666665</v>
      </c>
      <c r="N2" s="10" t="s">
        <v>453</v>
      </c>
      <c r="O2" s="10" t="s">
        <v>451</v>
      </c>
      <c r="P2" s="10">
        <v>1032</v>
      </c>
      <c r="Q2" s="10">
        <v>1586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9">
        <v>44405</v>
      </c>
      <c r="B3" s="10" t="s">
        <v>21</v>
      </c>
      <c r="C3" s="10" t="s">
        <v>99</v>
      </c>
      <c r="D3" s="10" t="s">
        <v>22</v>
      </c>
      <c r="E3" s="10" t="s">
        <v>268</v>
      </c>
      <c r="F3" s="10" t="s">
        <v>23</v>
      </c>
      <c r="G3" s="10">
        <v>70</v>
      </c>
      <c r="H3" s="10" t="s">
        <v>106</v>
      </c>
      <c r="I3" s="10" t="s">
        <v>102</v>
      </c>
      <c r="J3" s="11">
        <v>0.48958333333333331</v>
      </c>
      <c r="K3" s="5">
        <v>0.49027777777777781</v>
      </c>
      <c r="L3" s="11">
        <v>0.25694444444444448</v>
      </c>
      <c r="M3" s="12">
        <v>0.27708333333333335</v>
      </c>
      <c r="N3" s="10" t="s">
        <v>454</v>
      </c>
      <c r="O3" s="10" t="s">
        <v>450</v>
      </c>
      <c r="P3" s="10">
        <v>517</v>
      </c>
      <c r="Q3" s="10">
        <v>1289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9">
        <v>44405</v>
      </c>
      <c r="B4" s="3" t="s">
        <v>21</v>
      </c>
      <c r="C4" s="3" t="s">
        <v>51</v>
      </c>
      <c r="D4" s="3" t="s">
        <v>22</v>
      </c>
      <c r="E4" s="10" t="s">
        <v>268</v>
      </c>
      <c r="F4" s="3" t="s">
        <v>23</v>
      </c>
      <c r="G4" s="3">
        <v>70</v>
      </c>
      <c r="H4" s="3" t="s">
        <v>52</v>
      </c>
      <c r="I4" s="3" t="s">
        <v>53</v>
      </c>
      <c r="J4" s="4">
        <v>0.71875</v>
      </c>
      <c r="K4" s="5">
        <v>0.74791666666666667</v>
      </c>
      <c r="L4" s="4">
        <v>0.48958333333333331</v>
      </c>
      <c r="M4" s="5">
        <v>0.52708333333333335</v>
      </c>
      <c r="N4" s="3" t="s">
        <v>455</v>
      </c>
      <c r="O4" s="3" t="s">
        <v>399</v>
      </c>
      <c r="P4" s="3">
        <v>1192</v>
      </c>
      <c r="Q4" s="3">
        <v>1332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9">
        <v>44405</v>
      </c>
      <c r="B5" s="3" t="s">
        <v>21</v>
      </c>
      <c r="C5" s="3" t="s">
        <v>48</v>
      </c>
      <c r="D5" s="3" t="s">
        <v>22</v>
      </c>
      <c r="E5" s="10" t="s">
        <v>449</v>
      </c>
      <c r="F5" s="3" t="s">
        <v>23</v>
      </c>
      <c r="G5" s="3">
        <v>70</v>
      </c>
      <c r="H5" s="3" t="s">
        <v>49</v>
      </c>
      <c r="I5" s="3" t="s">
        <v>50</v>
      </c>
      <c r="J5" s="4">
        <v>0.96180555555555547</v>
      </c>
      <c r="K5" s="28" t="s">
        <v>94</v>
      </c>
      <c r="L5" s="4">
        <v>0.52083333333333337</v>
      </c>
      <c r="M5" s="5">
        <v>0.53125</v>
      </c>
      <c r="N5" s="29"/>
      <c r="O5" s="3" t="s">
        <v>452</v>
      </c>
      <c r="P5" s="29"/>
      <c r="Q5" s="3">
        <v>988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">
      <c r="A6" s="9">
        <v>44405</v>
      </c>
      <c r="B6" s="3" t="s">
        <v>21</v>
      </c>
      <c r="C6" s="3" t="s">
        <v>54</v>
      </c>
      <c r="D6" s="3" t="s">
        <v>22</v>
      </c>
      <c r="E6" s="10" t="s">
        <v>268</v>
      </c>
      <c r="F6" s="3" t="s">
        <v>23</v>
      </c>
      <c r="G6" s="3">
        <v>70</v>
      </c>
      <c r="H6" s="3" t="s">
        <v>55</v>
      </c>
      <c r="I6" s="3" t="s">
        <v>56</v>
      </c>
      <c r="J6" s="4">
        <v>0.92013888888888884</v>
      </c>
      <c r="K6" s="5">
        <v>0.94305555555555554</v>
      </c>
      <c r="L6" s="4">
        <v>0.73958333333333337</v>
      </c>
      <c r="M6" s="5">
        <v>0.77777777777777779</v>
      </c>
      <c r="N6" s="3" t="s">
        <v>299</v>
      </c>
      <c r="O6" s="3" t="s">
        <v>456</v>
      </c>
      <c r="P6" s="3">
        <v>1114</v>
      </c>
      <c r="Q6" s="3">
        <v>484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">
      <c r="A7" s="2">
        <v>44405</v>
      </c>
      <c r="B7" s="3" t="s">
        <v>21</v>
      </c>
      <c r="C7" s="3" t="s">
        <v>457</v>
      </c>
      <c r="D7" s="3" t="s">
        <v>22</v>
      </c>
      <c r="E7" s="10" t="s">
        <v>449</v>
      </c>
      <c r="F7" s="3" t="s">
        <v>404</v>
      </c>
      <c r="G7" s="3">
        <v>70</v>
      </c>
      <c r="H7" s="3" t="s">
        <v>458</v>
      </c>
      <c r="I7" s="3" t="s">
        <v>103</v>
      </c>
      <c r="J7" s="4">
        <v>2.7777777777777776E-2</v>
      </c>
      <c r="K7" s="5">
        <v>2.9166666666666664E-2</v>
      </c>
      <c r="L7" s="30" t="s">
        <v>128</v>
      </c>
      <c r="M7" s="3" t="s">
        <v>128</v>
      </c>
      <c r="N7" s="3" t="s">
        <v>103</v>
      </c>
      <c r="O7" s="3" t="s">
        <v>103</v>
      </c>
      <c r="P7" s="3" t="s">
        <v>103</v>
      </c>
      <c r="Q7" s="3" t="s">
        <v>103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C1" workbookViewId="0">
      <selection activeCell="G12" sqref="G12"/>
    </sheetView>
  </sheetViews>
  <sheetFormatPr defaultRowHeight="12.75" x14ac:dyDescent="0.2"/>
  <cols>
    <col min="1" max="1" width="9.140625" style="3"/>
    <col min="2" max="2" width="19.28515625" style="3" bestFit="1" customWidth="1"/>
    <col min="3" max="3" width="15.7109375" style="3" bestFit="1" customWidth="1"/>
    <col min="4" max="4" width="15.85546875" style="3" customWidth="1"/>
    <col min="5" max="13" width="9.140625" style="3"/>
    <col min="14" max="15" width="18.42578125" style="3" bestFit="1" customWidth="1"/>
    <col min="16" max="16384" width="9.140625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9">
        <v>44406</v>
      </c>
      <c r="B2" s="10" t="s">
        <v>21</v>
      </c>
      <c r="C2" s="10" t="s">
        <v>24</v>
      </c>
      <c r="D2" s="10" t="s">
        <v>22</v>
      </c>
      <c r="E2" s="10" t="s">
        <v>459</v>
      </c>
      <c r="F2" s="10" t="s">
        <v>23</v>
      </c>
      <c r="G2" s="10">
        <v>70000</v>
      </c>
      <c r="H2" s="10" t="s">
        <v>25</v>
      </c>
      <c r="I2" s="10" t="s">
        <v>26</v>
      </c>
      <c r="J2" s="11">
        <v>0.4375</v>
      </c>
      <c r="K2" s="12">
        <v>0.43541666666666662</v>
      </c>
      <c r="L2" s="11">
        <v>0.27083333333333331</v>
      </c>
      <c r="M2" s="12">
        <v>0.27777777777777779</v>
      </c>
      <c r="N2" s="10" t="s">
        <v>226</v>
      </c>
      <c r="O2" s="10" t="s">
        <v>461</v>
      </c>
      <c r="P2" s="10">
        <v>1469</v>
      </c>
      <c r="Q2" s="10">
        <v>1412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9">
        <v>44406</v>
      </c>
      <c r="B3" s="10" t="s">
        <v>21</v>
      </c>
      <c r="C3" s="10" t="s">
        <v>138</v>
      </c>
      <c r="D3" s="10" t="s">
        <v>22</v>
      </c>
      <c r="E3" s="10" t="s">
        <v>449</v>
      </c>
      <c r="F3" s="10" t="s">
        <v>23</v>
      </c>
      <c r="G3" s="10">
        <v>70000</v>
      </c>
      <c r="H3" s="10" t="s">
        <v>80</v>
      </c>
      <c r="I3" s="10" t="s">
        <v>81</v>
      </c>
      <c r="J3" s="11">
        <v>0.55208333333333337</v>
      </c>
      <c r="K3" s="12">
        <v>0.57777777777777783</v>
      </c>
      <c r="L3" s="11">
        <v>0.375</v>
      </c>
      <c r="M3" s="12">
        <v>0.3888888888888889</v>
      </c>
      <c r="N3" s="10" t="s">
        <v>309</v>
      </c>
      <c r="O3" s="10" t="s">
        <v>462</v>
      </c>
      <c r="P3" s="10">
        <v>1143</v>
      </c>
      <c r="Q3" s="10">
        <v>1043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9">
        <v>44406</v>
      </c>
      <c r="B4" s="10" t="s">
        <v>21</v>
      </c>
      <c r="C4" s="10" t="s">
        <v>137</v>
      </c>
      <c r="D4" s="10" t="s">
        <v>22</v>
      </c>
      <c r="E4" s="10" t="s">
        <v>460</v>
      </c>
      <c r="F4" s="10" t="s">
        <v>23</v>
      </c>
      <c r="G4" s="10">
        <v>70000</v>
      </c>
      <c r="H4" s="10" t="s">
        <v>83</v>
      </c>
      <c r="I4" s="10" t="s">
        <v>84</v>
      </c>
      <c r="J4" s="11">
        <v>0.67361111111111116</v>
      </c>
      <c r="K4" s="12">
        <v>0.8041666666666667</v>
      </c>
      <c r="L4" s="11">
        <v>0.46875</v>
      </c>
      <c r="M4" s="12">
        <v>0.46875</v>
      </c>
      <c r="N4" s="10" t="s">
        <v>475</v>
      </c>
      <c r="O4" s="10" t="s">
        <v>466</v>
      </c>
      <c r="P4" s="10">
        <v>1306</v>
      </c>
      <c r="Q4" s="10">
        <v>622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9">
        <v>44406</v>
      </c>
      <c r="B5" s="9" t="s">
        <v>21</v>
      </c>
      <c r="C5" s="10" t="s">
        <v>30</v>
      </c>
      <c r="D5" s="10" t="s">
        <v>22</v>
      </c>
      <c r="E5" s="10" t="s">
        <v>449</v>
      </c>
      <c r="F5" s="10" t="s">
        <v>23</v>
      </c>
      <c r="G5" s="10">
        <v>70000</v>
      </c>
      <c r="H5" s="10" t="s">
        <v>31</v>
      </c>
      <c r="I5" s="10" t="s">
        <v>32</v>
      </c>
      <c r="J5" s="11">
        <v>0.77430555555555547</v>
      </c>
      <c r="K5" s="12">
        <v>0.8041666666666667</v>
      </c>
      <c r="L5" s="11">
        <v>0.58333333333333337</v>
      </c>
      <c r="M5" s="12">
        <v>0.61597222222222225</v>
      </c>
      <c r="N5" s="10" t="s">
        <v>478</v>
      </c>
      <c r="O5" s="10" t="s">
        <v>476</v>
      </c>
      <c r="P5" s="10">
        <v>1380</v>
      </c>
      <c r="Q5" s="10">
        <v>1158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">
      <c r="A6" s="9">
        <v>44406</v>
      </c>
      <c r="B6" s="3" t="s">
        <v>133</v>
      </c>
      <c r="C6" s="3" t="s">
        <v>101</v>
      </c>
      <c r="D6" s="3" t="s">
        <v>22</v>
      </c>
      <c r="E6" s="3" t="s">
        <v>460</v>
      </c>
      <c r="F6" s="3" t="s">
        <v>23</v>
      </c>
      <c r="G6" s="14">
        <v>70000</v>
      </c>
      <c r="H6" s="3" t="s">
        <v>105</v>
      </c>
      <c r="I6" s="3" t="s">
        <v>104</v>
      </c>
      <c r="J6" s="4">
        <v>0.90972222222222221</v>
      </c>
      <c r="K6" s="5">
        <v>0.92291666666666661</v>
      </c>
      <c r="L6" s="4">
        <v>0.69444444444444453</v>
      </c>
      <c r="M6" s="5">
        <v>0.71736111111111101</v>
      </c>
      <c r="N6" s="3" t="s">
        <v>479</v>
      </c>
      <c r="O6" s="3" t="s">
        <v>338</v>
      </c>
      <c r="P6" s="3">
        <v>743</v>
      </c>
      <c r="Q6" s="3">
        <v>1486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9">
        <f>A6</f>
        <v>44406</v>
      </c>
      <c r="B7" s="9" t="s">
        <v>21</v>
      </c>
      <c r="C7" s="10" t="s">
        <v>27</v>
      </c>
      <c r="D7" s="10" t="s">
        <v>22</v>
      </c>
      <c r="E7" s="10" t="s">
        <v>449</v>
      </c>
      <c r="F7" s="10" t="s">
        <v>23</v>
      </c>
      <c r="G7" s="10">
        <v>70000</v>
      </c>
      <c r="H7" s="10" t="s">
        <v>28</v>
      </c>
      <c r="I7" s="10" t="s">
        <v>29</v>
      </c>
      <c r="J7" s="11">
        <v>0.94097222222222221</v>
      </c>
      <c r="K7" s="12">
        <v>0.96527777777777779</v>
      </c>
      <c r="L7" s="11">
        <v>0.79513888888888884</v>
      </c>
      <c r="M7" s="12">
        <v>0.83611111111111114</v>
      </c>
      <c r="N7" s="10" t="s">
        <v>372</v>
      </c>
      <c r="O7" s="10" t="s">
        <v>477</v>
      </c>
      <c r="P7" s="10">
        <v>1212</v>
      </c>
      <c r="Q7" s="10">
        <v>854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9">
        <f>A7</f>
        <v>44406</v>
      </c>
      <c r="B8" s="3" t="s">
        <v>366</v>
      </c>
      <c r="C8" s="10" t="s">
        <v>463</v>
      </c>
      <c r="D8" s="10" t="s">
        <v>464</v>
      </c>
      <c r="E8" s="10" t="s">
        <v>465</v>
      </c>
      <c r="F8" s="10" t="s">
        <v>140</v>
      </c>
      <c r="G8" s="10">
        <v>2000</v>
      </c>
      <c r="H8" s="10" t="s">
        <v>465</v>
      </c>
      <c r="I8" s="10" t="s">
        <v>465</v>
      </c>
      <c r="J8" s="4">
        <v>0.36458333333333331</v>
      </c>
      <c r="K8" s="5">
        <v>0.36944444444444446</v>
      </c>
      <c r="L8" s="4">
        <v>0.3888888888888889</v>
      </c>
      <c r="M8" s="5">
        <v>0.3888888888888889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">
      <c r="A9" s="2">
        <v>44406</v>
      </c>
      <c r="B9" s="3" t="s">
        <v>366</v>
      </c>
      <c r="C9" s="3" t="s">
        <v>467</v>
      </c>
      <c r="D9" s="3" t="s">
        <v>464</v>
      </c>
      <c r="E9" s="3" t="s">
        <v>465</v>
      </c>
      <c r="F9" s="3" t="s">
        <v>140</v>
      </c>
      <c r="G9" s="3">
        <v>2000</v>
      </c>
      <c r="H9" s="3" t="s">
        <v>465</v>
      </c>
      <c r="I9" s="3" t="s">
        <v>465</v>
      </c>
      <c r="J9" s="4">
        <v>0.5</v>
      </c>
      <c r="K9" s="5">
        <v>0.5</v>
      </c>
      <c r="L9" s="5">
        <v>0.51388888888888895</v>
      </c>
      <c r="M9" s="5">
        <v>0.51597222222222217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">
      <c r="A10" s="2">
        <v>44406</v>
      </c>
      <c r="B10" s="3" t="s">
        <v>468</v>
      </c>
      <c r="C10" s="3" t="s">
        <v>469</v>
      </c>
      <c r="D10" s="3" t="s">
        <v>470</v>
      </c>
      <c r="E10" s="3" t="s">
        <v>471</v>
      </c>
      <c r="F10" s="3" t="s">
        <v>380</v>
      </c>
      <c r="G10" s="3">
        <v>16000</v>
      </c>
      <c r="H10" s="3" t="s">
        <v>472</v>
      </c>
      <c r="I10" s="3" t="s">
        <v>473</v>
      </c>
      <c r="J10" s="5">
        <v>0.56944444444444442</v>
      </c>
      <c r="K10" s="5">
        <v>0.5756944444444444</v>
      </c>
      <c r="L10" s="5">
        <v>0.51388888888888895</v>
      </c>
      <c r="M10" s="5">
        <v>0.51597222222222217</v>
      </c>
      <c r="N10" s="3" t="s">
        <v>474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K6" sqref="K6"/>
    </sheetView>
  </sheetViews>
  <sheetFormatPr defaultRowHeight="12.75" x14ac:dyDescent="0.2"/>
  <cols>
    <col min="1" max="1" width="10.140625" style="3" bestFit="1" customWidth="1"/>
    <col min="2" max="2" width="8.5703125" style="3" customWidth="1"/>
    <col min="3" max="3" width="15.28515625" style="3" customWidth="1"/>
    <col min="4" max="4" width="7" style="3" customWidth="1"/>
    <col min="5" max="5" width="15.7109375" style="3" bestFit="1" customWidth="1"/>
    <col min="6" max="6" width="11.140625" style="3" customWidth="1"/>
    <col min="7" max="7" width="8" style="3" customWidth="1"/>
    <col min="8" max="8" width="8.140625" style="3" customWidth="1"/>
    <col min="9" max="9" width="8.42578125" style="3" customWidth="1"/>
    <col min="10" max="10" width="7.7109375" style="3" customWidth="1"/>
    <col min="11" max="13" width="9.140625" style="3"/>
    <col min="14" max="15" width="18.42578125" style="3" bestFit="1" customWidth="1"/>
    <col min="16" max="16384" width="9.140625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9">
        <v>44407</v>
      </c>
      <c r="B2" s="10" t="s">
        <v>21</v>
      </c>
      <c r="C2" s="10" t="s">
        <v>44</v>
      </c>
      <c r="D2" s="10" t="s">
        <v>22</v>
      </c>
      <c r="E2" s="10" t="s">
        <v>460</v>
      </c>
      <c r="F2" s="3" t="s">
        <v>23</v>
      </c>
      <c r="G2" s="3">
        <v>70000</v>
      </c>
      <c r="H2" s="10" t="s">
        <v>46</v>
      </c>
      <c r="I2" s="10" t="s">
        <v>47</v>
      </c>
      <c r="J2" s="4">
        <v>0.45833333333333331</v>
      </c>
      <c r="K2" s="5">
        <v>0.4597222222222222</v>
      </c>
      <c r="L2" s="4">
        <v>0.25694444444444448</v>
      </c>
      <c r="M2" s="5">
        <v>0.2673611111111111</v>
      </c>
      <c r="N2" s="10" t="s">
        <v>483</v>
      </c>
      <c r="O2" s="3" t="s">
        <v>480</v>
      </c>
      <c r="P2" s="3">
        <v>1346</v>
      </c>
      <c r="Q2" s="3">
        <v>1689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9">
        <v>44407</v>
      </c>
      <c r="B3" s="10" t="s">
        <v>21</v>
      </c>
      <c r="C3" s="10" t="s">
        <v>64</v>
      </c>
      <c r="D3" s="10" t="s">
        <v>22</v>
      </c>
      <c r="E3" s="3" t="s">
        <v>449</v>
      </c>
      <c r="F3" s="10" t="s">
        <v>23</v>
      </c>
      <c r="G3" s="10">
        <v>70000</v>
      </c>
      <c r="H3" s="10" t="s">
        <v>66</v>
      </c>
      <c r="I3" s="10" t="s">
        <v>67</v>
      </c>
      <c r="J3" s="11">
        <v>0.4375</v>
      </c>
      <c r="K3" s="12">
        <v>0.42986111111111108</v>
      </c>
      <c r="L3" s="11">
        <v>0.27083333333333331</v>
      </c>
      <c r="M3" s="12">
        <v>0.27916666666666667</v>
      </c>
      <c r="N3" s="10" t="s">
        <v>482</v>
      </c>
      <c r="O3" s="10" t="s">
        <v>481</v>
      </c>
      <c r="P3" s="10">
        <v>1206</v>
      </c>
      <c r="Q3" s="10">
        <v>833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9">
        <f>A3</f>
        <v>44407</v>
      </c>
      <c r="B4" s="10" t="s">
        <v>21</v>
      </c>
      <c r="C4" s="10" t="s">
        <v>48</v>
      </c>
      <c r="D4" s="10" t="s">
        <v>22</v>
      </c>
      <c r="E4" s="3" t="str">
        <f>E3</f>
        <v>HA-LWB</v>
      </c>
      <c r="F4" s="10" t="s">
        <v>23</v>
      </c>
      <c r="G4" s="10">
        <v>70000</v>
      </c>
      <c r="H4" s="10" t="s">
        <v>49</v>
      </c>
      <c r="I4" s="10" t="s">
        <v>50</v>
      </c>
      <c r="J4" s="11">
        <v>0.90277777777777779</v>
      </c>
      <c r="K4" s="12">
        <v>0.92638888888888893</v>
      </c>
      <c r="L4" s="11">
        <v>0.46875</v>
      </c>
      <c r="M4" s="12">
        <v>0.47013888888888888</v>
      </c>
      <c r="N4" s="10" t="s">
        <v>145</v>
      </c>
      <c r="O4" s="3" t="s">
        <v>484</v>
      </c>
      <c r="P4" s="3">
        <v>1233</v>
      </c>
      <c r="Q4" s="3">
        <v>1317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9">
        <f>A4</f>
        <v>44407</v>
      </c>
      <c r="B5" s="10" t="s">
        <v>21</v>
      </c>
      <c r="C5" s="10" t="s">
        <v>51</v>
      </c>
      <c r="D5" s="10" t="s">
        <v>22</v>
      </c>
      <c r="E5" s="10" t="str">
        <f>E2</f>
        <v>HA-LWG</v>
      </c>
      <c r="F5" s="10" t="s">
        <v>23</v>
      </c>
      <c r="G5" s="10">
        <v>70000</v>
      </c>
      <c r="H5" s="10" t="s">
        <v>52</v>
      </c>
      <c r="I5" s="10" t="s">
        <v>53</v>
      </c>
      <c r="J5" s="4">
        <v>0.71875</v>
      </c>
      <c r="K5" s="5">
        <v>0.72499999999999998</v>
      </c>
      <c r="L5" s="4">
        <v>0.48958333333333331</v>
      </c>
      <c r="M5" s="5">
        <v>0.49722222222222223</v>
      </c>
      <c r="N5" s="3" t="s">
        <v>485</v>
      </c>
      <c r="O5" s="3" t="s">
        <v>416</v>
      </c>
      <c r="P5" s="3">
        <v>1115</v>
      </c>
      <c r="Q5" s="3">
        <v>1313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9">
        <f>A5</f>
        <v>44407</v>
      </c>
      <c r="B6" s="10" t="s">
        <v>21</v>
      </c>
      <c r="C6" s="10" t="s">
        <v>54</v>
      </c>
      <c r="D6" s="10" t="s">
        <v>22</v>
      </c>
      <c r="E6" s="10" t="str">
        <f>E5</f>
        <v>HA-LWG</v>
      </c>
      <c r="F6" s="10" t="s">
        <v>23</v>
      </c>
      <c r="G6" s="10">
        <v>70000</v>
      </c>
      <c r="H6" s="10" t="s">
        <v>55</v>
      </c>
      <c r="I6" s="10" t="s">
        <v>56</v>
      </c>
      <c r="J6" s="11">
        <v>0.92013888888888884</v>
      </c>
      <c r="K6" s="12">
        <v>0.93263888888888891</v>
      </c>
      <c r="L6" s="11">
        <v>0.73958333333333337</v>
      </c>
      <c r="M6" s="12">
        <v>0.75624999999999998</v>
      </c>
      <c r="N6" s="10" t="s">
        <v>487</v>
      </c>
      <c r="O6" s="3" t="s">
        <v>486</v>
      </c>
      <c r="P6" s="3">
        <v>928</v>
      </c>
      <c r="Q6" s="3">
        <v>1302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9">
        <f>A6</f>
        <v>44407</v>
      </c>
      <c r="B7" s="10" t="s">
        <v>57</v>
      </c>
      <c r="C7" s="10" t="s">
        <v>58</v>
      </c>
      <c r="D7" s="10" t="s">
        <v>22</v>
      </c>
      <c r="E7" s="10" t="s">
        <v>59</v>
      </c>
      <c r="F7" s="10" t="s">
        <v>181</v>
      </c>
      <c r="G7" s="10">
        <v>77000</v>
      </c>
      <c r="H7" s="10" t="s">
        <v>61</v>
      </c>
      <c r="I7" s="10" t="s">
        <v>62</v>
      </c>
      <c r="J7" s="11">
        <v>0.3298611111111111</v>
      </c>
      <c r="K7" s="12">
        <v>0.33333333333333331</v>
      </c>
      <c r="L7" s="11">
        <v>0.37152777777777773</v>
      </c>
      <c r="M7" s="12">
        <v>0.37986111111111115</v>
      </c>
      <c r="N7" s="10" t="s">
        <v>290</v>
      </c>
      <c r="O7" s="10" t="s">
        <v>282</v>
      </c>
      <c r="P7" s="10">
        <v>2487</v>
      </c>
      <c r="Q7" s="10">
        <v>2165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/>
      <c r="J8" s="4"/>
      <c r="K8" s="5"/>
      <c r="L8" s="4"/>
      <c r="M8" s="5"/>
    </row>
  </sheetData>
  <pageMargins left="0.7" right="0.7" top="0.75" bottom="0.75" header="0.3" footer="0.3"/>
  <pageSetup paperSize="9" orientation="portrait" verticalDpi="0" r:id="rId1"/>
  <ignoredErrors>
    <ignoredError sqref="E5" 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topLeftCell="C1" workbookViewId="0">
      <selection activeCell="P6" sqref="P6"/>
    </sheetView>
  </sheetViews>
  <sheetFormatPr defaultRowHeight="12.75" x14ac:dyDescent="0.2"/>
  <cols>
    <col min="1" max="1" width="10.140625" style="3" bestFit="1" customWidth="1"/>
    <col min="2" max="2" width="27.5703125" style="3" bestFit="1" customWidth="1"/>
    <col min="3" max="3" width="13.28515625" style="3" bestFit="1" customWidth="1"/>
    <col min="4" max="5" width="9.140625" style="3"/>
    <col min="6" max="6" width="12.140625" style="3" bestFit="1" customWidth="1"/>
    <col min="7" max="13" width="9.140625" style="3"/>
    <col min="14" max="15" width="18.42578125" style="3" bestFit="1" customWidth="1"/>
    <col min="16" max="16384" width="9.140625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9">
        <v>44408</v>
      </c>
      <c r="B2" s="10" t="s">
        <v>21</v>
      </c>
      <c r="C2" s="10" t="s">
        <v>134</v>
      </c>
      <c r="D2" s="10" t="s">
        <v>22</v>
      </c>
      <c r="E2" s="10" t="s">
        <v>449</v>
      </c>
      <c r="F2" s="10" t="s">
        <v>23</v>
      </c>
      <c r="G2" s="10">
        <v>70000</v>
      </c>
      <c r="H2" s="10" t="s">
        <v>135</v>
      </c>
      <c r="I2" s="10" t="s">
        <v>136</v>
      </c>
      <c r="J2" s="11">
        <v>0.375</v>
      </c>
      <c r="K2" s="12">
        <v>0.36805555555555558</v>
      </c>
      <c r="L2" s="11">
        <v>0.25694444444444448</v>
      </c>
      <c r="M2" s="12">
        <v>0.26041666666666669</v>
      </c>
      <c r="N2" s="10" t="s">
        <v>489</v>
      </c>
      <c r="O2" s="10" t="s">
        <v>129</v>
      </c>
      <c r="P2" s="10">
        <v>796</v>
      </c>
      <c r="Q2" s="10">
        <v>655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9">
        <v>44408</v>
      </c>
      <c r="B3" s="10" t="s">
        <v>21</v>
      </c>
      <c r="C3" s="10" t="s">
        <v>24</v>
      </c>
      <c r="D3" s="10" t="s">
        <v>22</v>
      </c>
      <c r="E3" s="10" t="s">
        <v>460</v>
      </c>
      <c r="F3" s="10" t="s">
        <v>23</v>
      </c>
      <c r="G3" s="10">
        <v>70000</v>
      </c>
      <c r="H3" s="10" t="s">
        <v>25</v>
      </c>
      <c r="I3" s="10" t="s">
        <v>26</v>
      </c>
      <c r="J3" s="11">
        <v>0.4375</v>
      </c>
      <c r="K3" s="12">
        <v>0.44166666666666665</v>
      </c>
      <c r="L3" s="11">
        <v>0.27083333333333331</v>
      </c>
      <c r="M3" s="12">
        <v>0.28541666666666665</v>
      </c>
      <c r="N3" s="10" t="s">
        <v>274</v>
      </c>
      <c r="O3" s="10" t="s">
        <v>488</v>
      </c>
      <c r="P3" s="10">
        <v>1582</v>
      </c>
      <c r="Q3" s="10">
        <v>1511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9">
        <v>44408</v>
      </c>
      <c r="B4" s="10" t="s">
        <v>21</v>
      </c>
      <c r="C4" s="10" t="s">
        <v>138</v>
      </c>
      <c r="D4" s="10" t="s">
        <v>22</v>
      </c>
      <c r="E4" s="10" t="str">
        <f>E2</f>
        <v>HA-LWB</v>
      </c>
      <c r="F4" s="10" t="s">
        <v>23</v>
      </c>
      <c r="G4" s="10">
        <v>70000</v>
      </c>
      <c r="H4" s="10" t="s">
        <v>80</v>
      </c>
      <c r="I4" s="10" t="s">
        <v>81</v>
      </c>
      <c r="J4" s="11">
        <v>0.57291666666666663</v>
      </c>
      <c r="K4" s="12">
        <v>0.60069444444444442</v>
      </c>
      <c r="L4" s="11">
        <v>0.39583333333333331</v>
      </c>
      <c r="M4" s="12">
        <v>0.44305555555555554</v>
      </c>
      <c r="N4" s="10" t="s">
        <v>492</v>
      </c>
      <c r="O4" s="10" t="s">
        <v>490</v>
      </c>
      <c r="P4" s="10">
        <v>1410</v>
      </c>
      <c r="Q4" s="10">
        <v>1443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9">
        <v>44408</v>
      </c>
      <c r="B5" s="10" t="s">
        <v>21</v>
      </c>
      <c r="C5" s="10" t="s">
        <v>137</v>
      </c>
      <c r="D5" s="10" t="s">
        <v>22</v>
      </c>
      <c r="E5" s="10" t="str">
        <f>E3</f>
        <v>HA-LWG</v>
      </c>
      <c r="F5" s="10" t="s">
        <v>23</v>
      </c>
      <c r="G5" s="10">
        <v>70000</v>
      </c>
      <c r="H5" s="10" t="s">
        <v>83</v>
      </c>
      <c r="I5" s="10" t="s">
        <v>84</v>
      </c>
      <c r="J5" s="11">
        <v>0.67361111111111116</v>
      </c>
      <c r="K5" s="12">
        <v>0.68819444444444444</v>
      </c>
      <c r="L5" s="11">
        <v>0.46875</v>
      </c>
      <c r="M5" s="12">
        <v>0.4777777777777778</v>
      </c>
      <c r="N5" s="10" t="s">
        <v>332</v>
      </c>
      <c r="O5" s="10" t="s">
        <v>491</v>
      </c>
      <c r="P5" s="10">
        <v>1418</v>
      </c>
      <c r="Q5" s="10">
        <v>1180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">
      <c r="A6" s="9">
        <v>44408</v>
      </c>
      <c r="B6" s="9" t="s">
        <v>21</v>
      </c>
      <c r="C6" s="10" t="s">
        <v>27</v>
      </c>
      <c r="D6" s="10" t="s">
        <v>22</v>
      </c>
      <c r="E6" s="10" t="str">
        <f>E4</f>
        <v>HA-LWB</v>
      </c>
      <c r="F6" s="10" t="s">
        <v>23</v>
      </c>
      <c r="G6" s="10">
        <v>70000</v>
      </c>
      <c r="H6" s="10" t="s">
        <v>28</v>
      </c>
      <c r="I6" s="10" t="s">
        <v>29</v>
      </c>
      <c r="J6" s="11">
        <v>0.95486111111111116</v>
      </c>
      <c r="K6" s="12">
        <v>2.7777777777777779E-3</v>
      </c>
      <c r="L6" s="11">
        <v>0.60069444444444442</v>
      </c>
      <c r="M6" s="12">
        <v>0.63888888888888895</v>
      </c>
      <c r="N6" s="10" t="s">
        <v>347</v>
      </c>
      <c r="O6" s="10" t="s">
        <v>91</v>
      </c>
      <c r="P6" s="10">
        <v>1560</v>
      </c>
      <c r="Q6" s="10">
        <v>1411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">
      <c r="A7" s="9">
        <v>44408</v>
      </c>
      <c r="B7" s="10" t="s">
        <v>21</v>
      </c>
      <c r="C7" s="10" t="s">
        <v>85</v>
      </c>
      <c r="D7" s="10" t="s">
        <v>22</v>
      </c>
      <c r="E7" s="10" t="str">
        <f>E5</f>
        <v>HA-LWG</v>
      </c>
      <c r="F7" s="10" t="s">
        <v>23</v>
      </c>
      <c r="G7" s="10">
        <v>70000</v>
      </c>
      <c r="H7" s="10" t="s">
        <v>86</v>
      </c>
      <c r="I7" s="10" t="s">
        <v>87</v>
      </c>
      <c r="J7" s="11">
        <v>0.90972222222222221</v>
      </c>
      <c r="K7" s="12">
        <v>0.9277777777777777</v>
      </c>
      <c r="L7" s="11">
        <v>0.69444444444444453</v>
      </c>
      <c r="M7" s="12">
        <v>0.72916666666666663</v>
      </c>
      <c r="N7" s="10" t="s">
        <v>498</v>
      </c>
      <c r="O7" s="10" t="s">
        <v>493</v>
      </c>
      <c r="P7" s="10">
        <v>993</v>
      </c>
      <c r="Q7" s="10">
        <v>1911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9">
        <v>44408</v>
      </c>
      <c r="B8" s="10" t="s">
        <v>117</v>
      </c>
      <c r="C8" s="10" t="s">
        <v>494</v>
      </c>
      <c r="D8" s="10" t="s">
        <v>119</v>
      </c>
      <c r="E8" s="10" t="s">
        <v>495</v>
      </c>
      <c r="F8" s="10" t="s">
        <v>140</v>
      </c>
      <c r="G8" s="31">
        <v>5613</v>
      </c>
      <c r="H8" s="10" t="s">
        <v>496</v>
      </c>
      <c r="I8" s="10" t="s">
        <v>497</v>
      </c>
      <c r="J8" s="5">
        <v>0.82638888888888884</v>
      </c>
      <c r="K8" s="5">
        <v>0.72083333333333333</v>
      </c>
      <c r="L8" s="5"/>
      <c r="M8" s="5"/>
    </row>
    <row r="9" spans="1:21" x14ac:dyDescent="0.2">
      <c r="A9" s="2"/>
      <c r="B9" s="10"/>
      <c r="C9" s="10"/>
      <c r="D9" s="10"/>
      <c r="F9" s="10"/>
      <c r="G9" s="10"/>
      <c r="H9" s="10"/>
      <c r="I9" s="10"/>
      <c r="J9" s="5"/>
      <c r="K9" s="5"/>
      <c r="O9" s="10"/>
      <c r="P9" s="10"/>
      <c r="Q9" s="10"/>
      <c r="R9" s="10"/>
      <c r="S9" s="10"/>
      <c r="T9" s="10"/>
      <c r="U9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2021-02-01T03:54:40Z</dcterms:created>
  <dcterms:modified xsi:type="dcterms:W3CDTF">2021-07-31T22:05:06Z</dcterms:modified>
</cp:coreProperties>
</file>