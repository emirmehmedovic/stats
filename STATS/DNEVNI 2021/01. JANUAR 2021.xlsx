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35" windowWidth="18195" windowHeight="11760" tabRatio="789" activeTab="26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3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9" r:id="rId18"/>
    <sheet name="20" sheetId="20" r:id="rId19"/>
    <sheet name="22" sheetId="21" r:id="rId20"/>
    <sheet name="23" sheetId="22" r:id="rId21"/>
    <sheet name="24" sheetId="23" r:id="rId22"/>
    <sheet name="25" sheetId="24" r:id="rId23"/>
    <sheet name="27" sheetId="25" r:id="rId24"/>
    <sheet name="29" sheetId="26" r:id="rId25"/>
    <sheet name="30" sheetId="27" r:id="rId26"/>
    <sheet name="31" sheetId="28" r:id="rId27"/>
  </sheets>
  <calcPr calcId="145621"/>
</workbook>
</file>

<file path=xl/calcChain.xml><?xml version="1.0" encoding="utf-8"?>
<calcChain xmlns="http://schemas.openxmlformats.org/spreadsheetml/2006/main">
  <c r="A3" i="28" l="1"/>
  <c r="A4" i="28" s="1"/>
  <c r="A10" i="27" l="1"/>
  <c r="A9" i="27"/>
  <c r="A8" i="27"/>
  <c r="A7" i="27"/>
  <c r="A6" i="27"/>
  <c r="A5" i="27"/>
  <c r="A4" i="27"/>
  <c r="A3" i="27" l="1"/>
  <c r="A3" i="23" l="1"/>
  <c r="A4" i="23" s="1"/>
  <c r="A3" i="22" l="1"/>
  <c r="A3" i="16" l="1"/>
  <c r="A4" i="16" s="1"/>
  <c r="A3" i="15" l="1"/>
  <c r="A3" i="14" l="1"/>
  <c r="A5" i="10" l="1"/>
  <c r="A3" i="10" l="1"/>
  <c r="A4" i="10" s="1"/>
  <c r="E3" i="8" l="1"/>
  <c r="A3" i="8"/>
  <c r="A4" i="8" s="1"/>
  <c r="A4" i="6" l="1"/>
  <c r="E3" i="6" l="1"/>
  <c r="A3" i="6"/>
  <c r="A3" i="5" l="1"/>
  <c r="A3" i="4" l="1"/>
  <c r="E3" i="3" l="1"/>
  <c r="A3" i="3"/>
  <c r="A4" i="3" s="1"/>
</calcChain>
</file>

<file path=xl/sharedStrings.xml><?xml version="1.0" encoding="utf-8"?>
<sst xmlns="http://schemas.openxmlformats.org/spreadsheetml/2006/main" count="1201" uniqueCount="227">
  <si>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</si>
  <si>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</si>
  <si>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</si>
  <si>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</si>
  <si>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</si>
  <si>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</si>
  <si>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</si>
  <si>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</si>
  <si>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</si>
  <si>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</si>
  <si>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</si>
  <si>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</si>
  <si>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</si>
  <si>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</si>
  <si>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</si>
  <si>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</si>
  <si>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</si>
  <si>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</si>
  <si>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</si>
  <si>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</si>
  <si>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</si>
  <si>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</si>
  <si>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</si>
  <si>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</si>
  <si>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W64290</t>
  </si>
  <si>
    <t>W64289</t>
  </si>
  <si>
    <t>TZL-EIN-TZL</t>
  </si>
  <si>
    <t>HA-LWH</t>
  </si>
  <si>
    <t>73+0 INF</t>
  </si>
  <si>
    <t>PEGASUS AIRLINES</t>
  </si>
  <si>
    <t>SAW-TZL-SAW</t>
  </si>
  <si>
    <t>TC-NBR</t>
  </si>
  <si>
    <t>NON-SCHEDULED</t>
  </si>
  <si>
    <t>PC291</t>
  </si>
  <si>
    <t>PC292</t>
  </si>
  <si>
    <t>91+1 INF</t>
  </si>
  <si>
    <t>86+1 INF</t>
  </si>
  <si>
    <t>54+0 INF</t>
  </si>
  <si>
    <t>TZL-MMX-TZL</t>
  </si>
  <si>
    <t>W64292</t>
  </si>
  <si>
    <t>W64291</t>
  </si>
  <si>
    <t>TZL-FMM-TZL</t>
  </si>
  <si>
    <t>W64280</t>
  </si>
  <si>
    <t>W64279</t>
  </si>
  <si>
    <t>TZL-DTM-TZL</t>
  </si>
  <si>
    <t>HALWH</t>
  </si>
  <si>
    <t>HALWR</t>
  </si>
  <si>
    <t>W64298</t>
  </si>
  <si>
    <t>W64297</t>
  </si>
  <si>
    <t>106+2 INF</t>
  </si>
  <si>
    <t>135+2 INF</t>
  </si>
  <si>
    <t>136+2 INF</t>
  </si>
  <si>
    <t>112+3 INF</t>
  </si>
  <si>
    <t>W64296</t>
  </si>
  <si>
    <t>W64295</t>
  </si>
  <si>
    <t>02.01.2021.</t>
  </si>
  <si>
    <t>TZL-GOT-TZL</t>
  </si>
  <si>
    <t>111+ 4 INF</t>
  </si>
  <si>
    <t>123 + 2 INF</t>
  </si>
  <si>
    <t>TZL-HHN-TZL</t>
  </si>
  <si>
    <t>TZL-NYO-TZL</t>
  </si>
  <si>
    <t>TZL-MLH-TZL</t>
  </si>
  <si>
    <t>W64284</t>
  </si>
  <si>
    <t>W64282</t>
  </si>
  <si>
    <t>W64294</t>
  </si>
  <si>
    <t>W64283</t>
  </si>
  <si>
    <t>W64281</t>
  </si>
  <si>
    <t>W64293</t>
  </si>
  <si>
    <t>140+3 INF</t>
  </si>
  <si>
    <t>74+3 INF</t>
  </si>
  <si>
    <t>123+4 INF</t>
  </si>
  <si>
    <t>161+2 INF</t>
  </si>
  <si>
    <t>76+3 INF</t>
  </si>
  <si>
    <t>96+1 INF</t>
  </si>
  <si>
    <t>130+1 INF</t>
  </si>
  <si>
    <t>70+6 INF</t>
  </si>
  <si>
    <t>95+1 INF</t>
  </si>
  <si>
    <t>54+1 INF</t>
  </si>
  <si>
    <t>HALYI</t>
  </si>
  <si>
    <t>05.01.2021.</t>
  </si>
  <si>
    <t>W642979</t>
  </si>
  <si>
    <t>121 + 3 INF</t>
  </si>
  <si>
    <t>HALWK</t>
  </si>
  <si>
    <t>FERRY IN /OUT</t>
  </si>
  <si>
    <t>W6803</t>
  </si>
  <si>
    <t>W6804</t>
  </si>
  <si>
    <t>BEG-TZL-BEG</t>
  </si>
  <si>
    <t>33+1 INF</t>
  </si>
  <si>
    <t>129+5 INF</t>
  </si>
  <si>
    <t>NIL</t>
  </si>
  <si>
    <t>128+2 INF</t>
  </si>
  <si>
    <t>91+0 INF</t>
  </si>
  <si>
    <t>53+2 INF</t>
  </si>
  <si>
    <t>68 +1 INF</t>
  </si>
  <si>
    <t>125 + 2 INF</t>
  </si>
  <si>
    <t>115 + 4 INF</t>
  </si>
  <si>
    <t>32+0 INF</t>
  </si>
  <si>
    <t>139+1 INF</t>
  </si>
  <si>
    <t>86+0 INF</t>
  </si>
  <si>
    <t>140+7INF</t>
  </si>
  <si>
    <t>42+3INF</t>
  </si>
  <si>
    <t>127+4 INF</t>
  </si>
  <si>
    <t>147+3 INF</t>
  </si>
  <si>
    <t>109+3 INF</t>
  </si>
  <si>
    <t>75+3INF</t>
  </si>
  <si>
    <t>130+3INF</t>
  </si>
  <si>
    <t>102+1INF</t>
  </si>
  <si>
    <t>87+1INF</t>
  </si>
  <si>
    <t>149+4 INF</t>
  </si>
  <si>
    <t>53+1 INF</t>
  </si>
  <si>
    <t>W6801</t>
  </si>
  <si>
    <t>NON-SCHEDULEED</t>
  </si>
  <si>
    <t>HALYS</t>
  </si>
  <si>
    <t>WAW-TZL</t>
  </si>
  <si>
    <t>81+8 INF</t>
  </si>
  <si>
    <t>165+4 INF</t>
  </si>
  <si>
    <t>146+5 INF</t>
  </si>
  <si>
    <t>70+1 INF</t>
  </si>
  <si>
    <t>159+6 INF</t>
  </si>
  <si>
    <t>AERO-DIENST</t>
  </si>
  <si>
    <t>NUE-TZL-FRA</t>
  </si>
  <si>
    <t>D328</t>
  </si>
  <si>
    <t>DBADC</t>
  </si>
  <si>
    <t>ADN17C</t>
  </si>
  <si>
    <t>59+0 INF</t>
  </si>
  <si>
    <t>151+3 INF</t>
  </si>
  <si>
    <t>59+2 INF</t>
  </si>
  <si>
    <t>HA-LYS</t>
  </si>
  <si>
    <t>142+1 INF</t>
  </si>
  <si>
    <t>89+5 INF</t>
  </si>
  <si>
    <t>135+3INF</t>
  </si>
  <si>
    <t>DIV TO BEG</t>
  </si>
  <si>
    <t>14.01.2021.</t>
  </si>
  <si>
    <t>BEG-TZL</t>
  </si>
  <si>
    <t xml:space="preserve">FERRY IN </t>
  </si>
  <si>
    <t>103+1 INF</t>
  </si>
  <si>
    <t>129+2 INF</t>
  </si>
  <si>
    <t>102+3 INF</t>
  </si>
  <si>
    <t>89+2 INF</t>
  </si>
  <si>
    <t>142+0INF</t>
  </si>
  <si>
    <t>99+3INF</t>
  </si>
  <si>
    <t>128+3INF</t>
  </si>
  <si>
    <t>155+5 INF</t>
  </si>
  <si>
    <t>130+9 INF</t>
  </si>
  <si>
    <t>73+2 IMF</t>
  </si>
  <si>
    <t>116+9 INF</t>
  </si>
  <si>
    <t>115+8 INF</t>
  </si>
  <si>
    <t>146+1 INF</t>
  </si>
  <si>
    <t>71+2INF</t>
  </si>
  <si>
    <t>150+3INF</t>
  </si>
  <si>
    <t>99+4INF</t>
  </si>
  <si>
    <t>HA-LYI</t>
  </si>
  <si>
    <t>112+8 INF</t>
  </si>
  <si>
    <t>HELIMASTER</t>
  </si>
  <si>
    <t>BEG-TZL-TREBINJE</t>
  </si>
  <si>
    <t>NONSCHEDULED</t>
  </si>
  <si>
    <t>YU-HRD</t>
  </si>
  <si>
    <t>A109</t>
  </si>
  <si>
    <t>AEROHELI</t>
  </si>
  <si>
    <t>AS350B3</t>
  </si>
  <si>
    <t>D-HAIO</t>
  </si>
  <si>
    <t>NON SCHEDULED</t>
  </si>
  <si>
    <t>-</t>
  </si>
  <si>
    <t>CREW</t>
  </si>
  <si>
    <t>QEW-TZL-TIA</t>
  </si>
  <si>
    <t>128+0INF</t>
  </si>
  <si>
    <t>109+0INF</t>
  </si>
  <si>
    <t>114+3 INF</t>
  </si>
  <si>
    <t>85+3 INF</t>
  </si>
  <si>
    <t>138+6 INF</t>
  </si>
  <si>
    <t>140+7 INF</t>
  </si>
  <si>
    <t>135+8 INF</t>
  </si>
  <si>
    <t>100+5 INF</t>
  </si>
  <si>
    <t>133+8 INF</t>
  </si>
  <si>
    <t>131+5INF</t>
  </si>
  <si>
    <t>65+3INF</t>
  </si>
  <si>
    <t>149+2INF</t>
  </si>
  <si>
    <t>101+6INF</t>
  </si>
  <si>
    <t>89+3INF</t>
  </si>
  <si>
    <t>127+3INF</t>
  </si>
  <si>
    <t>78+4 INF</t>
  </si>
  <si>
    <t>89+3 INF</t>
  </si>
  <si>
    <t>88+6 INF</t>
  </si>
  <si>
    <t>121+4 INF</t>
  </si>
  <si>
    <t>93+2 INF</t>
  </si>
  <si>
    <t>77+2INF</t>
  </si>
  <si>
    <t>137+2INF</t>
  </si>
  <si>
    <t>140+3INF</t>
  </si>
  <si>
    <t>131+6 INF</t>
  </si>
  <si>
    <t>146+4 INF</t>
  </si>
  <si>
    <t>GAS AVIAITON</t>
  </si>
  <si>
    <t>BNX-TZL</t>
  </si>
  <si>
    <t>TECH.FL.</t>
  </si>
  <si>
    <t>ROP</t>
  </si>
  <si>
    <t>PA-28R</t>
  </si>
  <si>
    <t>C172</t>
  </si>
  <si>
    <t>PA-46</t>
  </si>
  <si>
    <t>YUDXX</t>
  </si>
  <si>
    <t>YUDPS</t>
  </si>
  <si>
    <t>YUSPG</t>
  </si>
  <si>
    <t>SXAST</t>
  </si>
  <si>
    <t>YUFLY</t>
  </si>
  <si>
    <t>YUBZV</t>
  </si>
  <si>
    <t>130+11 INF</t>
  </si>
  <si>
    <t>YUDNZ</t>
  </si>
  <si>
    <t>TREBINJE-TZL-BEG</t>
  </si>
  <si>
    <t>AW109SP</t>
  </si>
  <si>
    <t>YUHRD</t>
  </si>
  <si>
    <t>TECH.FL./HELICOPTER</t>
  </si>
  <si>
    <t>138+2 INF</t>
  </si>
  <si>
    <t>C206G</t>
  </si>
  <si>
    <t>CTU206G</t>
  </si>
  <si>
    <t>16.33</t>
  </si>
  <si>
    <t>FLYDUBAI</t>
  </si>
  <si>
    <t>DXB-TZL</t>
  </si>
  <si>
    <t>B737</t>
  </si>
  <si>
    <t>A6FEC</t>
  </si>
  <si>
    <t>INT.NON-SCHED</t>
  </si>
  <si>
    <t>FZ761</t>
  </si>
  <si>
    <t>71+1 INF</t>
  </si>
  <si>
    <t>108+5INF</t>
  </si>
  <si>
    <t>107+7INF</t>
  </si>
  <si>
    <t>127+5INF</t>
  </si>
  <si>
    <t>TZL-SJJ</t>
  </si>
  <si>
    <t>137+4 INF</t>
  </si>
  <si>
    <t>115+1 INF</t>
  </si>
  <si>
    <t>141+4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</si>
</sst>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0"/>
      <color theme="1"/>
      <name val="Garamond"/>
      <family val="1"/>
      <charset val="238"/>
    </font>
    <font>
      <sz val="11"/>
      <color theme="1"/>
      <name val="Garamond"/>
      <family val="1"/>
      <charset val="238"/>
    </font>
    <font>
      <b/>
      <sz val="11"/>
      <color theme="1"/>
      <name val="Garamond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43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2" fillId="0" borderId="0" xfId="5" applyNumberFormat="1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20" fontId="3" fillId="0" borderId="0" xfId="6" applyNumberFormat="1" applyFont="1" applyFill="1" applyAlignment="1">
      <alignment horizontal="center" vertical="center"/>
    </xf>
    <xf numFmtId="20" fontId="2" fillId="0" borderId="0" xfId="6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3" fontId="2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2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horizontal="center" vertical="center"/>
    </xf>
    <xf numFmtId="0" fontId="5" fillId="0" borderId="0" xfId="2" applyFont="1" applyAlignment="1">
      <alignment horizontal="center"/>
    </xf>
    <xf numFmtId="0" fontId="5" fillId="0" borderId="0" xfId="7" applyFont="1" applyAlignment="1">
      <alignment horizontal="center"/>
    </xf>
    <xf numFmtId="0" fontId="6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3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20" fontId="8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9" fillId="0" borderId="0" xfId="0" applyFont="1"/>
    <xf numFmtId="14" fontId="5" fillId="0" borderId="0" xfId="0" applyNumberFormat="1" applyFont="1" applyAlignment="1">
      <alignment horizontal="center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20" fontId="5" fillId="3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0" fillId="0" borderId="0" xfId="0" applyFont="1"/>
    <xf numFmtId="20" fontId="5" fillId="0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8">
    <cellStyle name="Normal" xfId="0" builtinId="0"/>
    <cellStyle name="Normal 2" xfId="2"/>
    <cellStyle name="Normal 2 2" xfId="5"/>
    <cellStyle name="Normal 2 3" xfId="7"/>
    <cellStyle name="Normal 3" xfId="3"/>
    <cellStyle name="Normal 3 2" xfId="6"/>
    <cellStyle name="Normal 4" xfId="1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"/>
  <sheetViews>
    <sheetView topLeftCell="G1" workbookViewId="0">
      <selection activeCell="M3" sqref="M3"/>
    </sheetView>
  </sheetViews>
  <sheetFormatPr defaultRowHeight="15" x14ac:dyDescent="0.25"/>
  <cols>
    <col min="2" max="2" width="18.140625" bestFit="1" customWidth="1"/>
    <col min="3" max="3" width="15" customWidth="1"/>
    <col min="6" max="6" width="17.28515625" bestFit="1" customWidth="1"/>
    <col min="10" max="11" width="11.7109375" customWidth="1"/>
    <col min="12" max="13" width="11.5703125" customWidth="1"/>
    <col min="14" max="14" width="18.85546875" customWidth="1"/>
    <col min="15" max="15" width="18.42578125" customWidth="1"/>
    <col min="16" max="17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6">
        <v>44197</v>
      </c>
      <c r="B2" s="2" t="s">
        <v>21</v>
      </c>
      <c r="C2" s="2" t="s">
        <v>26</v>
      </c>
      <c r="D2" s="2" t="s">
        <v>22</v>
      </c>
      <c r="E2" s="2" t="s">
        <v>27</v>
      </c>
      <c r="F2" s="2" t="s">
        <v>23</v>
      </c>
      <c r="G2" s="10">
        <v>70000</v>
      </c>
      <c r="H2" s="2" t="s">
        <v>24</v>
      </c>
      <c r="I2" s="2" t="s">
        <v>25</v>
      </c>
      <c r="J2" s="3">
        <v>0.70138888888888884</v>
      </c>
      <c r="K2" s="4">
        <v>0.67638888888888893</v>
      </c>
      <c r="L2" s="3">
        <v>0.49305555555555558</v>
      </c>
      <c r="M2" s="4">
        <v>0.49236111111111108</v>
      </c>
      <c r="N2" s="7" t="s">
        <v>36</v>
      </c>
      <c r="O2" s="5" t="s">
        <v>28</v>
      </c>
      <c r="P2" s="5">
        <v>598</v>
      </c>
      <c r="Q2" s="5">
        <v>633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6">
        <v>44197</v>
      </c>
      <c r="B3" s="2" t="s">
        <v>29</v>
      </c>
      <c r="C3" s="2" t="s">
        <v>30</v>
      </c>
      <c r="D3" s="2" t="s">
        <v>22</v>
      </c>
      <c r="E3" s="2" t="s">
        <v>31</v>
      </c>
      <c r="F3" s="2" t="s">
        <v>32</v>
      </c>
      <c r="G3" s="10">
        <v>75000</v>
      </c>
      <c r="H3" s="2" t="s">
        <v>33</v>
      </c>
      <c r="I3" s="2" t="s">
        <v>34</v>
      </c>
      <c r="J3" s="3">
        <v>0.48958333333333331</v>
      </c>
      <c r="K3" s="4">
        <v>0.50624999999999998</v>
      </c>
      <c r="L3" s="3">
        <v>0.625</v>
      </c>
      <c r="M3" s="4">
        <v>0.71458333333333324</v>
      </c>
      <c r="N3" s="7" t="s">
        <v>35</v>
      </c>
      <c r="O3" s="5" t="s">
        <v>37</v>
      </c>
      <c r="P3" s="2">
        <v>1408</v>
      </c>
      <c r="Q3" s="5">
        <v>637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6"/>
      <c r="B4" s="2"/>
      <c r="C4" s="2"/>
      <c r="D4" s="2"/>
      <c r="E4" s="2"/>
      <c r="F4" s="2"/>
      <c r="G4" s="10"/>
      <c r="H4" s="2"/>
      <c r="I4" s="2"/>
      <c r="J4" s="3"/>
      <c r="K4" s="9"/>
      <c r="L4" s="3"/>
      <c r="M4" s="4"/>
      <c r="N4" s="7"/>
      <c r="O4" s="5"/>
      <c r="P4" s="5"/>
      <c r="Q4" s="5"/>
      <c r="R4" s="2"/>
      <c r="S4" s="2"/>
      <c r="T4" s="2"/>
      <c r="U4" s="2"/>
    </row>
    <row r="5" spans="1:21" x14ac:dyDescent="0.25">
      <c r="A5" s="6"/>
      <c r="B5" s="2"/>
      <c r="C5" s="2"/>
      <c r="D5" s="2"/>
      <c r="E5" s="2"/>
      <c r="F5" s="2"/>
      <c r="G5" s="10"/>
      <c r="H5" s="2"/>
      <c r="I5" s="2"/>
      <c r="J5" s="3"/>
      <c r="K5" s="9"/>
      <c r="L5" s="3"/>
      <c r="M5" s="4"/>
      <c r="N5" s="7"/>
      <c r="O5" s="5"/>
      <c r="P5" s="2"/>
      <c r="Q5" s="5"/>
      <c r="R5" s="2"/>
      <c r="S5" s="2"/>
      <c r="T5" s="2"/>
      <c r="U5" s="2"/>
    </row>
    <row r="6" spans="1:21" x14ac:dyDescent="0.25">
      <c r="A6" s="6"/>
      <c r="B6" s="2"/>
      <c r="C6" s="7"/>
      <c r="D6" s="7"/>
      <c r="E6" s="2"/>
      <c r="F6" s="7"/>
      <c r="G6" s="10"/>
      <c r="H6" s="7"/>
      <c r="I6" s="7"/>
      <c r="J6" s="8"/>
      <c r="K6" s="9"/>
      <c r="L6" s="8"/>
      <c r="M6" s="9"/>
      <c r="N6" s="7"/>
      <c r="O6" s="7"/>
      <c r="P6" s="7"/>
      <c r="Q6" s="5"/>
      <c r="R6" s="7"/>
      <c r="S6" s="7"/>
      <c r="T6" s="7"/>
      <c r="U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ht="12.75" x14ac:dyDescent="0.2">
      <c r="A2" s="6">
        <v>44198</v>
      </c>
      <c r="B2" s="12" t="s">
        <v>21</v>
      </c>
      <c r="C2" s="12" t="s">
        <v>38</v>
      </c>
      <c r="D2" s="12" t="s">
        <v>22</v>
      </c>
      <c r="E2" s="12" t="s">
        <v>45</v>
      </c>
      <c r="F2" s="2" t="s">
        <v>23</v>
      </c>
      <c r="G2" s="13">
        <v>70000</v>
      </c>
      <c r="H2" s="12" t="s">
        <v>39</v>
      </c>
      <c r="I2" s="12" t="s">
        <v>40</v>
      </c>
      <c r="J2" s="14">
        <v>0.47916666666666669</v>
      </c>
      <c r="K2" s="15">
        <v>0.47916666666666669</v>
      </c>
      <c r="L2" s="14">
        <v>0.27430555555555552</v>
      </c>
      <c r="M2" s="15">
        <v>0.28194444444444444</v>
      </c>
      <c r="N2" s="16">
        <v>59</v>
      </c>
      <c r="O2" s="16" t="s">
        <v>49</v>
      </c>
      <c r="P2" s="17">
        <v>326</v>
      </c>
      <c r="Q2" s="16">
        <v>950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s="22" customFormat="1" ht="12.75" x14ac:dyDescent="0.2">
      <c r="A3" s="6">
        <v>44198</v>
      </c>
      <c r="B3" s="12" t="s">
        <v>21</v>
      </c>
      <c r="C3" s="12" t="s">
        <v>44</v>
      </c>
      <c r="D3" s="12" t="s">
        <v>22</v>
      </c>
      <c r="E3" s="12" t="s">
        <v>46</v>
      </c>
      <c r="F3" s="2" t="s">
        <v>23</v>
      </c>
      <c r="G3" s="13">
        <v>70000</v>
      </c>
      <c r="H3" s="2" t="s">
        <v>47</v>
      </c>
      <c r="I3" s="2" t="s">
        <v>48</v>
      </c>
      <c r="J3" s="20">
        <v>0.50694444444444442</v>
      </c>
      <c r="K3" s="21">
        <v>0.49722222222222223</v>
      </c>
      <c r="L3" s="20">
        <v>0.53125</v>
      </c>
      <c r="M3" s="21">
        <v>0.53472222222222221</v>
      </c>
      <c r="N3" s="19" t="s">
        <v>52</v>
      </c>
      <c r="O3" s="19" t="s">
        <v>50</v>
      </c>
      <c r="P3" s="19">
        <v>884</v>
      </c>
      <c r="Q3" s="19">
        <v>858</v>
      </c>
      <c r="R3" s="19">
        <v>0</v>
      </c>
      <c r="S3" s="19">
        <v>0</v>
      </c>
      <c r="T3" s="19">
        <v>0</v>
      </c>
      <c r="U3" s="19">
        <v>0</v>
      </c>
    </row>
    <row r="4" spans="1:22" s="22" customFormat="1" ht="12.75" x14ac:dyDescent="0.2">
      <c r="A4" s="6">
        <v>44198</v>
      </c>
      <c r="B4" s="12" t="s">
        <v>21</v>
      </c>
      <c r="C4" s="12" t="s">
        <v>41</v>
      </c>
      <c r="D4" s="12" t="s">
        <v>22</v>
      </c>
      <c r="E4" s="12" t="s">
        <v>45</v>
      </c>
      <c r="F4" s="2" t="s">
        <v>23</v>
      </c>
      <c r="G4" s="13">
        <v>70000</v>
      </c>
      <c r="H4" s="2" t="s">
        <v>42</v>
      </c>
      <c r="I4" s="2" t="s">
        <v>43</v>
      </c>
      <c r="J4" s="20">
        <v>0.64930555555555558</v>
      </c>
      <c r="K4" s="21">
        <v>0.6479166666666667</v>
      </c>
      <c r="L4" s="20">
        <v>0.5</v>
      </c>
      <c r="M4" s="21">
        <v>0.51388888888888895</v>
      </c>
      <c r="N4" s="19" t="s">
        <v>57</v>
      </c>
      <c r="O4" s="19" t="s">
        <v>51</v>
      </c>
      <c r="P4" s="19">
        <v>818</v>
      </c>
      <c r="Q4" s="19">
        <v>1255</v>
      </c>
      <c r="R4" s="19">
        <v>0</v>
      </c>
      <c r="S4" s="19">
        <v>0</v>
      </c>
      <c r="T4" s="19">
        <v>0</v>
      </c>
      <c r="U4" s="19">
        <v>0</v>
      </c>
    </row>
    <row r="5" spans="1:22" x14ac:dyDescent="0.25">
      <c r="A5" s="27" t="s">
        <v>55</v>
      </c>
      <c r="B5" s="12" t="s">
        <v>21</v>
      </c>
      <c r="C5" s="12" t="s">
        <v>56</v>
      </c>
      <c r="D5" s="12" t="s">
        <v>22</v>
      </c>
      <c r="E5" s="12" t="s">
        <v>45</v>
      </c>
      <c r="F5" s="2" t="s">
        <v>23</v>
      </c>
      <c r="G5" s="24">
        <v>70000</v>
      </c>
      <c r="H5" s="2" t="s">
        <v>53</v>
      </c>
      <c r="I5" s="2" t="s">
        <v>54</v>
      </c>
      <c r="J5" s="25">
        <v>0.94791666666666663</v>
      </c>
      <c r="K5" s="25">
        <v>0.93333333333333324</v>
      </c>
      <c r="L5" s="25">
        <v>0.71527777777777779</v>
      </c>
      <c r="M5" s="25">
        <v>0.7104166666666667</v>
      </c>
      <c r="N5" s="26">
        <v>53</v>
      </c>
      <c r="O5" s="26" t="s">
        <v>58</v>
      </c>
      <c r="P5" s="26">
        <v>313</v>
      </c>
      <c r="Q5" s="26">
        <v>1038</v>
      </c>
      <c r="R5" s="26">
        <v>0</v>
      </c>
      <c r="S5" s="26">
        <v>0</v>
      </c>
      <c r="T5" s="26">
        <v>0</v>
      </c>
      <c r="U5" s="26">
        <v>0</v>
      </c>
      <c r="V5" s="2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ht="12.75" x14ac:dyDescent="0.2">
      <c r="A2" s="6">
        <v>44199</v>
      </c>
      <c r="B2" s="12" t="s">
        <v>21</v>
      </c>
      <c r="C2" s="12" t="s">
        <v>59</v>
      </c>
      <c r="D2" s="12" t="s">
        <v>22</v>
      </c>
      <c r="E2" s="12" t="s">
        <v>45</v>
      </c>
      <c r="F2" s="2" t="s">
        <v>23</v>
      </c>
      <c r="G2" s="13">
        <v>70000</v>
      </c>
      <c r="H2" s="12" t="s">
        <v>62</v>
      </c>
      <c r="I2" s="12" t="s">
        <v>65</v>
      </c>
      <c r="J2" s="14">
        <v>0.45833333333333331</v>
      </c>
      <c r="K2" s="15">
        <v>0.47013888888888888</v>
      </c>
      <c r="L2" s="14">
        <v>0.27430555555555552</v>
      </c>
      <c r="M2" s="15">
        <v>0.28263888888888888</v>
      </c>
      <c r="N2" s="16" t="s">
        <v>69</v>
      </c>
      <c r="O2" s="16" t="s">
        <v>68</v>
      </c>
      <c r="P2" s="17">
        <v>464</v>
      </c>
      <c r="Q2" s="16">
        <v>1094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s="22" customFormat="1" ht="12.75" x14ac:dyDescent="0.2">
      <c r="A3" s="6">
        <f>A2</f>
        <v>44199</v>
      </c>
      <c r="B3" s="12" t="s">
        <v>21</v>
      </c>
      <c r="C3" s="12" t="s">
        <v>60</v>
      </c>
      <c r="D3" s="12" t="s">
        <v>22</v>
      </c>
      <c r="E3" s="12" t="str">
        <f>E2</f>
        <v>HALWH</v>
      </c>
      <c r="F3" s="2" t="s">
        <v>23</v>
      </c>
      <c r="G3" s="13">
        <v>70000</v>
      </c>
      <c r="H3" s="2" t="s">
        <v>63</v>
      </c>
      <c r="I3" s="2" t="s">
        <v>66</v>
      </c>
      <c r="J3" s="20">
        <v>0.74305555555555547</v>
      </c>
      <c r="K3" s="21">
        <v>0.7416666666666667</v>
      </c>
      <c r="L3" s="20">
        <v>0.50694444444444442</v>
      </c>
      <c r="M3" s="21">
        <v>0.50763888888888886</v>
      </c>
      <c r="N3" s="19" t="s">
        <v>72</v>
      </c>
      <c r="O3" s="19" t="s">
        <v>70</v>
      </c>
      <c r="P3" s="19">
        <v>580</v>
      </c>
      <c r="Q3" s="19">
        <v>1435</v>
      </c>
      <c r="R3" s="19">
        <v>0</v>
      </c>
      <c r="S3" s="19">
        <v>0</v>
      </c>
      <c r="T3" s="19">
        <v>0</v>
      </c>
      <c r="U3" s="19">
        <v>0</v>
      </c>
    </row>
    <row r="4" spans="1:22" s="22" customFormat="1" ht="12.75" x14ac:dyDescent="0.2">
      <c r="A4" s="6">
        <f>A3</f>
        <v>44199</v>
      </c>
      <c r="B4" s="12" t="s">
        <v>21</v>
      </c>
      <c r="C4" s="12" t="s">
        <v>61</v>
      </c>
      <c r="D4" s="12" t="s">
        <v>22</v>
      </c>
      <c r="E4" s="12" t="s">
        <v>45</v>
      </c>
      <c r="F4" s="2" t="s">
        <v>23</v>
      </c>
      <c r="G4" s="13">
        <v>70000</v>
      </c>
      <c r="H4" s="2" t="s">
        <v>64</v>
      </c>
      <c r="I4" s="2" t="s">
        <v>67</v>
      </c>
      <c r="J4" s="20">
        <v>0.93055555555555547</v>
      </c>
      <c r="K4" s="21">
        <v>0.94166666666666676</v>
      </c>
      <c r="L4" s="20">
        <v>0.76388888888888884</v>
      </c>
      <c r="M4" s="21">
        <v>0.78125</v>
      </c>
      <c r="N4" s="19" t="s">
        <v>73</v>
      </c>
      <c r="O4" s="19" t="s">
        <v>71</v>
      </c>
      <c r="P4" s="19">
        <v>895</v>
      </c>
      <c r="Q4" s="19">
        <v>1986</v>
      </c>
      <c r="R4" s="19">
        <v>0</v>
      </c>
      <c r="S4" s="19">
        <v>0</v>
      </c>
      <c r="T4" s="19">
        <v>0</v>
      </c>
      <c r="U4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Q3" sqref="Q3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44200</v>
      </c>
      <c r="B2" s="12" t="s">
        <v>21</v>
      </c>
      <c r="C2" s="12" t="s">
        <v>44</v>
      </c>
      <c r="D2" s="12" t="s">
        <v>22</v>
      </c>
      <c r="E2" s="12" t="s">
        <v>45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0.45</v>
      </c>
      <c r="L2" s="20">
        <v>0.25694444444444448</v>
      </c>
      <c r="M2" s="21">
        <v>0.26458333333333334</v>
      </c>
      <c r="N2" s="19" t="s">
        <v>75</v>
      </c>
      <c r="O2" s="19" t="s">
        <v>74</v>
      </c>
      <c r="P2" s="19">
        <v>566</v>
      </c>
      <c r="Q2" s="19">
        <v>957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>
        <f>A2</f>
        <v>44200</v>
      </c>
      <c r="B3" s="12" t="s">
        <v>21</v>
      </c>
      <c r="C3" s="12" t="s">
        <v>26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24</v>
      </c>
      <c r="I3" s="2" t="s">
        <v>25</v>
      </c>
      <c r="J3" s="20">
        <v>0.74305555555555547</v>
      </c>
      <c r="K3" s="21">
        <v>0.73611111111111116</v>
      </c>
      <c r="L3" s="20">
        <v>0.53472222222222221</v>
      </c>
      <c r="M3" s="21">
        <v>0.53819444444444442</v>
      </c>
      <c r="N3" s="19" t="s">
        <v>77</v>
      </c>
      <c r="O3" s="19" t="s">
        <v>76</v>
      </c>
      <c r="P3" s="19">
        <v>472</v>
      </c>
      <c r="Q3" s="19">
        <v>755</v>
      </c>
      <c r="R3" s="19">
        <v>0</v>
      </c>
      <c r="S3" s="19">
        <v>0</v>
      </c>
      <c r="T3" s="19">
        <v>0</v>
      </c>
      <c r="U3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5" sqref="A5:XFD5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 t="s">
        <v>79</v>
      </c>
      <c r="B2" s="12" t="s">
        <v>21</v>
      </c>
      <c r="C2" s="12" t="s">
        <v>38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39</v>
      </c>
      <c r="I2" s="2" t="s">
        <v>40</v>
      </c>
      <c r="J2" s="28">
        <v>0.47916666666666669</v>
      </c>
      <c r="K2" s="25">
        <v>0.69444444444444453</v>
      </c>
      <c r="L2" s="28">
        <v>0.27430555555555552</v>
      </c>
      <c r="M2" s="25">
        <v>0.47083333333333338</v>
      </c>
      <c r="N2" s="26" t="s">
        <v>87</v>
      </c>
      <c r="O2" s="26" t="s">
        <v>81</v>
      </c>
      <c r="P2" s="26">
        <v>215</v>
      </c>
      <c r="Q2" s="26">
        <v>967</v>
      </c>
      <c r="R2" s="26">
        <v>0</v>
      </c>
      <c r="S2" s="26">
        <v>0</v>
      </c>
      <c r="T2" s="26">
        <v>0</v>
      </c>
      <c r="U2" s="26">
        <v>0</v>
      </c>
    </row>
    <row r="3" spans="1:21" s="22" customFormat="1" ht="12.75" x14ac:dyDescent="0.2">
      <c r="A3" s="6" t="str">
        <f>A2</f>
        <v>05.01.2021.</v>
      </c>
      <c r="B3" s="12" t="s">
        <v>21</v>
      </c>
      <c r="C3" s="12" t="s">
        <v>41</v>
      </c>
      <c r="D3" s="12" t="s">
        <v>22</v>
      </c>
      <c r="E3" s="12" t="s">
        <v>82</v>
      </c>
      <c r="F3" s="2" t="s">
        <v>23</v>
      </c>
      <c r="G3" s="13">
        <v>70000</v>
      </c>
      <c r="H3" s="2" t="s">
        <v>42</v>
      </c>
      <c r="I3" s="2" t="s">
        <v>80</v>
      </c>
      <c r="J3" s="28">
        <v>0.64930555555555558</v>
      </c>
      <c r="K3" s="25">
        <v>0.87638888888888899</v>
      </c>
      <c r="L3" s="28">
        <v>0.5</v>
      </c>
      <c r="M3" s="25">
        <v>0.72777777777777775</v>
      </c>
      <c r="N3" s="26" t="s">
        <v>91</v>
      </c>
      <c r="O3" s="26" t="s">
        <v>88</v>
      </c>
      <c r="P3" s="26">
        <v>820</v>
      </c>
      <c r="Q3" s="26">
        <v>948</v>
      </c>
      <c r="R3" s="26">
        <v>0</v>
      </c>
      <c r="S3" s="26">
        <v>0</v>
      </c>
      <c r="T3" s="26">
        <v>0</v>
      </c>
      <c r="U3" s="26">
        <v>0</v>
      </c>
    </row>
    <row r="4" spans="1:21" x14ac:dyDescent="0.25">
      <c r="A4" s="27" t="s">
        <v>79</v>
      </c>
      <c r="B4" s="12" t="s">
        <v>21</v>
      </c>
      <c r="C4" s="12" t="s">
        <v>56</v>
      </c>
      <c r="D4" s="12" t="s">
        <v>22</v>
      </c>
      <c r="E4" s="12" t="s">
        <v>78</v>
      </c>
      <c r="F4" s="2" t="s">
        <v>23</v>
      </c>
      <c r="G4" s="24">
        <v>70000</v>
      </c>
      <c r="H4" s="2" t="s">
        <v>53</v>
      </c>
      <c r="I4" s="2" t="s">
        <v>54</v>
      </c>
      <c r="J4" s="25">
        <v>0.94791666666666663</v>
      </c>
      <c r="K4" s="25">
        <v>0.93472222222222223</v>
      </c>
      <c r="L4" s="25">
        <v>0.71527777777777779</v>
      </c>
      <c r="M4" s="29">
        <v>0.7631944444444444</v>
      </c>
      <c r="N4" s="30" t="s">
        <v>92</v>
      </c>
      <c r="O4" s="30" t="s">
        <v>90</v>
      </c>
      <c r="P4" s="30">
        <v>358</v>
      </c>
      <c r="Q4" s="30">
        <v>891</v>
      </c>
      <c r="R4" s="26">
        <v>0</v>
      </c>
      <c r="S4" s="26">
        <v>0</v>
      </c>
      <c r="T4" s="26">
        <v>0</v>
      </c>
      <c r="U4" s="26">
        <v>0</v>
      </c>
    </row>
    <row r="5" spans="1:21" x14ac:dyDescent="0.25">
      <c r="A5" s="27" t="s">
        <v>79</v>
      </c>
      <c r="B5" s="12" t="s">
        <v>21</v>
      </c>
      <c r="C5" s="12" t="s">
        <v>86</v>
      </c>
      <c r="D5" s="12" t="s">
        <v>22</v>
      </c>
      <c r="E5" s="12" t="s">
        <v>82</v>
      </c>
      <c r="F5" s="2" t="s">
        <v>83</v>
      </c>
      <c r="G5" s="24">
        <v>70000</v>
      </c>
      <c r="H5" s="2" t="s">
        <v>84</v>
      </c>
      <c r="I5" s="2" t="s">
        <v>85</v>
      </c>
      <c r="J5" s="25">
        <v>0.58333333333333337</v>
      </c>
      <c r="K5" s="25">
        <v>0.68888888888888899</v>
      </c>
      <c r="L5" s="25">
        <v>0.77083333333333337</v>
      </c>
      <c r="M5" s="25">
        <v>0.90138888888888891</v>
      </c>
      <c r="N5" s="26" t="s">
        <v>89</v>
      </c>
      <c r="O5" s="26" t="s">
        <v>89</v>
      </c>
      <c r="P5" s="26" t="s">
        <v>89</v>
      </c>
      <c r="Q5" s="26" t="s">
        <v>89</v>
      </c>
      <c r="R5" s="26">
        <v>0</v>
      </c>
      <c r="S5" s="26">
        <v>0</v>
      </c>
      <c r="T5" s="26">
        <v>0</v>
      </c>
      <c r="U5" s="26">
        <v>0</v>
      </c>
    </row>
    <row r="6" spans="1:2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F1" workbookViewId="0">
      <selection activeCell="K4" sqref="K4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44202</v>
      </c>
      <c r="B2" s="12" t="s">
        <v>21</v>
      </c>
      <c r="C2" s="12" t="s">
        <v>44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0.44791666666666669</v>
      </c>
      <c r="L2" s="20">
        <v>0.25694444444444448</v>
      </c>
      <c r="M2" s="21">
        <v>0.26319444444444445</v>
      </c>
      <c r="N2" s="19" t="s">
        <v>93</v>
      </c>
      <c r="O2" s="19" t="s">
        <v>94</v>
      </c>
      <c r="P2" s="19">
        <v>483</v>
      </c>
      <c r="Q2" s="19">
        <v>858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>
        <f>A2</f>
        <v>44202</v>
      </c>
      <c r="B3" s="12" t="s">
        <v>21</v>
      </c>
      <c r="C3" s="12" t="s">
        <v>60</v>
      </c>
      <c r="D3" s="12" t="s">
        <v>22</v>
      </c>
      <c r="E3" s="12" t="str">
        <f>E2</f>
        <v>HALYI</v>
      </c>
      <c r="F3" s="2" t="s">
        <v>23</v>
      </c>
      <c r="G3" s="13">
        <v>70000</v>
      </c>
      <c r="H3" s="2" t="s">
        <v>63</v>
      </c>
      <c r="I3" s="2" t="s">
        <v>66</v>
      </c>
      <c r="J3" s="20">
        <v>0.74305555555555547</v>
      </c>
      <c r="K3" s="21">
        <v>0.73333333333333339</v>
      </c>
      <c r="L3" s="20">
        <v>0.50694444444444442</v>
      </c>
      <c r="M3" s="21">
        <v>0.50763888888888886</v>
      </c>
      <c r="N3" s="19" t="s">
        <v>96</v>
      </c>
      <c r="O3" s="19" t="s">
        <v>95</v>
      </c>
      <c r="P3" s="19">
        <v>187</v>
      </c>
      <c r="Q3" s="19">
        <v>1412</v>
      </c>
      <c r="R3" s="19">
        <v>0</v>
      </c>
      <c r="S3" s="19">
        <v>0</v>
      </c>
      <c r="T3" s="19">
        <v>0</v>
      </c>
      <c r="U3" s="19">
        <v>0</v>
      </c>
    </row>
    <row r="4" spans="1:21" s="22" customFormat="1" ht="12.75" x14ac:dyDescent="0.2">
      <c r="A4" s="6">
        <f>A3</f>
        <v>44202</v>
      </c>
      <c r="B4" s="12" t="s">
        <v>21</v>
      </c>
      <c r="C4" s="12" t="s">
        <v>61</v>
      </c>
      <c r="D4" s="12" t="s">
        <v>22</v>
      </c>
      <c r="E4" s="12" t="s">
        <v>78</v>
      </c>
      <c r="F4" s="2" t="s">
        <v>23</v>
      </c>
      <c r="G4" s="13">
        <v>70000</v>
      </c>
      <c r="H4" s="2" t="s">
        <v>64</v>
      </c>
      <c r="I4" s="2" t="s">
        <v>67</v>
      </c>
      <c r="J4" s="20">
        <v>0.93055555555555547</v>
      </c>
      <c r="K4" s="21">
        <v>0.91875000000000007</v>
      </c>
      <c r="L4" s="20">
        <v>0.76388888888888884</v>
      </c>
      <c r="M4" s="21">
        <v>0.76736111111111116</v>
      </c>
      <c r="N4" s="19" t="s">
        <v>98</v>
      </c>
      <c r="O4" s="19" t="s">
        <v>97</v>
      </c>
      <c r="P4" s="19">
        <v>522</v>
      </c>
      <c r="Q4" s="19">
        <v>1161</v>
      </c>
      <c r="R4" s="19">
        <v>0</v>
      </c>
      <c r="S4" s="19">
        <v>0</v>
      </c>
      <c r="T4" s="19">
        <v>0</v>
      </c>
      <c r="U4" s="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N18" sqref="N18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44203</v>
      </c>
      <c r="B2" s="12" t="s">
        <v>21</v>
      </c>
      <c r="C2" s="12" t="s">
        <v>59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62</v>
      </c>
      <c r="I2" s="2" t="s">
        <v>65</v>
      </c>
      <c r="J2" s="20">
        <v>0.45833333333333331</v>
      </c>
      <c r="K2" s="21">
        <v>0.44791666666666669</v>
      </c>
      <c r="L2" s="20">
        <v>0.27430555555555552</v>
      </c>
      <c r="M2" s="21">
        <v>0.28333333333333333</v>
      </c>
      <c r="N2" s="19" t="s">
        <v>100</v>
      </c>
      <c r="O2" s="19" t="s">
        <v>99</v>
      </c>
      <c r="P2" s="19">
        <v>217</v>
      </c>
      <c r="Q2" s="19">
        <v>1057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>
        <v>44203</v>
      </c>
      <c r="B3" s="12" t="s">
        <v>21</v>
      </c>
      <c r="C3" s="12" t="s">
        <v>38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39</v>
      </c>
      <c r="I3" s="2" t="s">
        <v>40</v>
      </c>
      <c r="J3" s="20">
        <v>0.69444444444444453</v>
      </c>
      <c r="K3" s="21">
        <v>0.68611111111111101</v>
      </c>
      <c r="L3" s="20">
        <v>0.48958333333333331</v>
      </c>
      <c r="M3" s="21">
        <v>0.48958333333333331</v>
      </c>
      <c r="N3" s="19">
        <v>33</v>
      </c>
      <c r="O3" s="19" t="s">
        <v>101</v>
      </c>
      <c r="P3" s="19">
        <v>185</v>
      </c>
      <c r="Q3" s="19">
        <v>1286</v>
      </c>
      <c r="R3" s="19">
        <v>0</v>
      </c>
      <c r="S3" s="19">
        <v>0</v>
      </c>
      <c r="T3" s="19">
        <v>0</v>
      </c>
      <c r="U3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D1" workbookViewId="0">
      <selection activeCell="D1" sqref="A1:XFD1048576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44204</v>
      </c>
      <c r="B2" s="12" t="s">
        <v>21</v>
      </c>
      <c r="C2" s="12" t="s">
        <v>44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0.4604166666666667</v>
      </c>
      <c r="L2" s="20">
        <v>0.25694444444444448</v>
      </c>
      <c r="M2" s="21">
        <v>0.2590277777777778</v>
      </c>
      <c r="N2" s="19" t="s">
        <v>106</v>
      </c>
      <c r="O2" s="19" t="s">
        <v>102</v>
      </c>
      <c r="P2" s="19">
        <v>575</v>
      </c>
      <c r="Q2" s="19">
        <v>1159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>
        <f>A2</f>
        <v>44204</v>
      </c>
      <c r="B3" s="12" t="s">
        <v>21</v>
      </c>
      <c r="C3" s="12" t="s">
        <v>26</v>
      </c>
      <c r="D3" s="12" t="s">
        <v>22</v>
      </c>
      <c r="E3" s="12" t="str">
        <f>E2</f>
        <v>HALYI</v>
      </c>
      <c r="F3" s="2" t="s">
        <v>23</v>
      </c>
      <c r="G3" s="13">
        <v>70000</v>
      </c>
      <c r="H3" s="2" t="s">
        <v>63</v>
      </c>
      <c r="I3" s="2" t="s">
        <v>66</v>
      </c>
      <c r="J3" s="20">
        <v>0.74305555555555547</v>
      </c>
      <c r="K3" s="21">
        <v>0.7270833333333333</v>
      </c>
      <c r="L3" s="20">
        <v>0.53472222222222221</v>
      </c>
      <c r="M3" s="21">
        <v>0.53194444444444444</v>
      </c>
      <c r="N3" s="19" t="s">
        <v>104</v>
      </c>
      <c r="O3" s="19" t="s">
        <v>103</v>
      </c>
      <c r="P3" s="19">
        <v>760</v>
      </c>
      <c r="Q3" s="19">
        <v>830</v>
      </c>
      <c r="R3" s="19">
        <v>0</v>
      </c>
      <c r="S3" s="19">
        <v>0</v>
      </c>
      <c r="T3" s="19">
        <v>0</v>
      </c>
      <c r="U3" s="19">
        <v>0</v>
      </c>
    </row>
    <row r="4" spans="1:21" s="22" customFormat="1" ht="12.75" x14ac:dyDescent="0.2">
      <c r="A4" s="6">
        <f>A3</f>
        <v>44204</v>
      </c>
      <c r="B4" s="12" t="s">
        <v>21</v>
      </c>
      <c r="C4" s="12" t="s">
        <v>61</v>
      </c>
      <c r="D4" s="12" t="s">
        <v>22</v>
      </c>
      <c r="E4" s="12" t="s">
        <v>78</v>
      </c>
      <c r="F4" s="2" t="s">
        <v>23</v>
      </c>
      <c r="G4" s="13">
        <v>70000</v>
      </c>
      <c r="H4" s="2" t="s">
        <v>64</v>
      </c>
      <c r="I4" s="2" t="s">
        <v>67</v>
      </c>
      <c r="J4" s="20">
        <v>0.93055555555555547</v>
      </c>
      <c r="K4" s="21">
        <v>0.91527777777777775</v>
      </c>
      <c r="L4" s="20">
        <v>0.76388888888888884</v>
      </c>
      <c r="M4" s="21">
        <v>0.7583333333333333</v>
      </c>
      <c r="N4" s="19" t="s">
        <v>107</v>
      </c>
      <c r="O4" s="19" t="s">
        <v>105</v>
      </c>
      <c r="P4" s="19">
        <v>451</v>
      </c>
      <c r="Q4" s="19">
        <v>1271</v>
      </c>
      <c r="R4" s="19">
        <v>0</v>
      </c>
      <c r="S4" s="19">
        <v>0</v>
      </c>
      <c r="T4" s="19">
        <v>0</v>
      </c>
      <c r="U4" s="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opLeftCell="E1" workbookViewId="0">
      <selection activeCell="K5" sqref="K5"/>
    </sheetView>
  </sheetViews>
  <sheetFormatPr defaultRowHeight="12.75" x14ac:dyDescent="0.2"/>
  <cols>
    <col min="1" max="1" width="10.140625" style="26" bestFit="1" customWidth="1"/>
    <col min="2" max="2" width="12.7109375" style="26" customWidth="1"/>
    <col min="3" max="3" width="15.85546875" style="26" customWidth="1"/>
    <col min="4" max="4" width="7" style="26" bestFit="1" customWidth="1"/>
    <col min="5" max="5" width="10.42578125" style="26" customWidth="1"/>
    <col min="6" max="6" width="19.28515625" style="26" customWidth="1"/>
    <col min="7" max="10" width="9.140625" style="26"/>
    <col min="11" max="11" width="10.85546875" style="26" bestFit="1" customWidth="1"/>
    <col min="12" max="12" width="9.140625" style="26"/>
    <col min="13" max="13" width="10.85546875" style="26" bestFit="1" customWidth="1"/>
    <col min="14" max="15" width="18.42578125" style="26" bestFit="1" customWidth="1"/>
    <col min="16" max="16384" width="9.140625" style="26"/>
  </cols>
  <sheetData>
    <row r="1" spans="1:22" s="1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x14ac:dyDescent="0.2">
      <c r="A2" s="6">
        <v>44205</v>
      </c>
      <c r="B2" s="12" t="s">
        <v>21</v>
      </c>
      <c r="C2" s="12" t="s">
        <v>38</v>
      </c>
      <c r="D2" s="12" t="s">
        <v>22</v>
      </c>
      <c r="E2" s="12" t="s">
        <v>78</v>
      </c>
      <c r="F2" s="2" t="s">
        <v>23</v>
      </c>
      <c r="G2" s="13">
        <v>70000</v>
      </c>
      <c r="H2" s="12" t="s">
        <v>39</v>
      </c>
      <c r="I2" s="12" t="s">
        <v>40</v>
      </c>
      <c r="J2" s="14">
        <v>0.47916666666666669</v>
      </c>
      <c r="K2" s="15">
        <v>0.47013888888888888</v>
      </c>
      <c r="L2" s="14">
        <v>0.27430555555555552</v>
      </c>
      <c r="M2" s="15">
        <v>0.27847222222222223</v>
      </c>
      <c r="N2" s="16" t="s">
        <v>109</v>
      </c>
      <c r="O2" s="16" t="s">
        <v>108</v>
      </c>
      <c r="P2" s="17">
        <v>418</v>
      </c>
      <c r="Q2" s="16">
        <v>1445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x14ac:dyDescent="0.2">
      <c r="A3" s="6">
        <v>44205</v>
      </c>
      <c r="B3" s="12" t="s">
        <v>21</v>
      </c>
      <c r="C3" s="12" t="s">
        <v>41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42</v>
      </c>
      <c r="I3" s="2" t="s">
        <v>43</v>
      </c>
      <c r="J3" s="28">
        <v>0.64930555555555558</v>
      </c>
      <c r="K3" s="25">
        <v>0.65069444444444446</v>
      </c>
      <c r="L3" s="28">
        <v>0.5</v>
      </c>
      <c r="M3" s="25">
        <v>0.49861111111111112</v>
      </c>
      <c r="N3" s="26" t="s">
        <v>114</v>
      </c>
      <c r="O3" s="26" t="s">
        <v>102</v>
      </c>
      <c r="P3" s="26">
        <v>799</v>
      </c>
      <c r="Q3" s="26">
        <v>1521</v>
      </c>
      <c r="R3" s="26">
        <v>0</v>
      </c>
      <c r="S3" s="26">
        <v>0</v>
      </c>
      <c r="T3" s="26">
        <v>0</v>
      </c>
      <c r="U3" s="26">
        <v>0</v>
      </c>
    </row>
    <row r="4" spans="1:22" x14ac:dyDescent="0.2">
      <c r="A4" s="6">
        <v>44205</v>
      </c>
      <c r="B4" s="12" t="s">
        <v>21</v>
      </c>
      <c r="C4" s="12" t="s">
        <v>56</v>
      </c>
      <c r="D4" s="12" t="s">
        <v>22</v>
      </c>
      <c r="E4" s="12" t="s">
        <v>112</v>
      </c>
      <c r="F4" s="2" t="s">
        <v>23</v>
      </c>
      <c r="G4" s="24">
        <v>70000</v>
      </c>
      <c r="H4" s="2" t="s">
        <v>53</v>
      </c>
      <c r="I4" s="2" t="s">
        <v>54</v>
      </c>
      <c r="J4" s="25">
        <v>0.94791666666666663</v>
      </c>
      <c r="K4" s="25">
        <v>0.94166666666666676</v>
      </c>
      <c r="L4" s="25">
        <v>0.71527777777777779</v>
      </c>
      <c r="M4" s="25">
        <v>0.72083333333333333</v>
      </c>
      <c r="N4" s="26" t="s">
        <v>96</v>
      </c>
      <c r="O4" s="26" t="s">
        <v>115</v>
      </c>
      <c r="P4" s="26">
        <v>171</v>
      </c>
      <c r="Q4" s="26">
        <v>1261</v>
      </c>
      <c r="R4" s="26">
        <v>0</v>
      </c>
      <c r="S4" s="26">
        <v>0</v>
      </c>
      <c r="T4" s="26">
        <v>0</v>
      </c>
      <c r="U4" s="26">
        <v>0</v>
      </c>
    </row>
    <row r="5" spans="1:22" x14ac:dyDescent="0.2">
      <c r="A5" s="6">
        <v>44205</v>
      </c>
      <c r="B5" s="12" t="s">
        <v>21</v>
      </c>
      <c r="C5" s="12" t="s">
        <v>113</v>
      </c>
      <c r="D5" s="12" t="s">
        <v>22</v>
      </c>
      <c r="E5" s="12" t="s">
        <v>112</v>
      </c>
      <c r="F5" s="2" t="s">
        <v>111</v>
      </c>
      <c r="G5" s="24">
        <v>70000</v>
      </c>
      <c r="H5" s="2" t="s">
        <v>110</v>
      </c>
      <c r="I5" s="31"/>
      <c r="J5" s="25">
        <v>0.52777777777777779</v>
      </c>
      <c r="K5" s="25">
        <v>0.52569444444444446</v>
      </c>
      <c r="L5" s="31"/>
      <c r="M5" s="31"/>
      <c r="N5" s="31"/>
      <c r="O5" s="31"/>
      <c r="P5" s="31"/>
      <c r="Q5" s="31"/>
      <c r="R5" s="26">
        <v>0</v>
      </c>
      <c r="S5" s="26">
        <v>0</v>
      </c>
      <c r="T5" s="26">
        <v>0</v>
      </c>
      <c r="U5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sqref="A1:XFD4"/>
    </sheetView>
  </sheetViews>
  <sheetFormatPr defaultRowHeight="12.75" x14ac:dyDescent="0.2"/>
  <cols>
    <col min="1" max="1" width="10.140625" style="26" bestFit="1" customWidth="1"/>
    <col min="2" max="2" width="14.28515625" style="26" bestFit="1" customWidth="1"/>
    <col min="3" max="3" width="16.85546875" style="26" bestFit="1" customWidth="1"/>
    <col min="4" max="4" width="7" style="26" bestFit="1" customWidth="1"/>
    <col min="5" max="5" width="10.42578125" style="26" customWidth="1"/>
    <col min="6" max="6" width="17.7109375" style="26" customWidth="1"/>
    <col min="7" max="10" width="9.140625" style="26"/>
    <col min="11" max="11" width="10.85546875" style="26" bestFit="1" customWidth="1"/>
    <col min="12" max="12" width="9.140625" style="26"/>
    <col min="13" max="13" width="10.85546875" style="26" bestFit="1" customWidth="1"/>
    <col min="14" max="15" width="18.42578125" style="26" bestFit="1" customWidth="1"/>
    <col min="16" max="16384" width="9.140625" style="26"/>
  </cols>
  <sheetData>
    <row r="1" spans="1:22" s="1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x14ac:dyDescent="0.2">
      <c r="A2" s="6">
        <v>44206</v>
      </c>
      <c r="B2" s="12" t="s">
        <v>21</v>
      </c>
      <c r="C2" s="12" t="s">
        <v>59</v>
      </c>
      <c r="D2" s="12" t="s">
        <v>22</v>
      </c>
      <c r="E2" s="12" t="s">
        <v>112</v>
      </c>
      <c r="F2" s="2" t="s">
        <v>23</v>
      </c>
      <c r="G2" s="13">
        <v>70000</v>
      </c>
      <c r="H2" s="12" t="s">
        <v>62</v>
      </c>
      <c r="I2" s="12" t="s">
        <v>65</v>
      </c>
      <c r="J2" s="14">
        <v>0.45833333333333331</v>
      </c>
      <c r="K2" s="15">
        <v>0.47222222222222227</v>
      </c>
      <c r="L2" s="14">
        <v>0.27430555555555552</v>
      </c>
      <c r="M2" s="15">
        <v>0.2902777777777778</v>
      </c>
      <c r="N2" s="16" t="s">
        <v>117</v>
      </c>
      <c r="O2" s="16" t="s">
        <v>116</v>
      </c>
      <c r="P2" s="17">
        <v>564</v>
      </c>
      <c r="Q2" s="16">
        <v>1300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x14ac:dyDescent="0.2">
      <c r="A3" s="6">
        <f>A2</f>
        <v>44206</v>
      </c>
      <c r="B3" s="12" t="s">
        <v>21</v>
      </c>
      <c r="C3" s="12" t="s">
        <v>60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63</v>
      </c>
      <c r="I3" s="2" t="s">
        <v>66</v>
      </c>
      <c r="J3" s="28">
        <v>0.74305555555555547</v>
      </c>
      <c r="K3" s="25">
        <v>0.75</v>
      </c>
      <c r="L3" s="28">
        <v>0.50694444444444442</v>
      </c>
      <c r="M3" s="25">
        <v>0.52708333333333335</v>
      </c>
      <c r="N3" s="26" t="s">
        <v>124</v>
      </c>
      <c r="O3" s="26" t="s">
        <v>118</v>
      </c>
      <c r="P3" s="26">
        <v>627</v>
      </c>
      <c r="Q3" s="26">
        <v>2199</v>
      </c>
      <c r="R3" s="26">
        <v>0</v>
      </c>
      <c r="S3" s="26">
        <v>0</v>
      </c>
      <c r="T3" s="26">
        <v>0</v>
      </c>
      <c r="U3" s="26">
        <v>0</v>
      </c>
    </row>
    <row r="4" spans="1:22" x14ac:dyDescent="0.2">
      <c r="A4" s="6">
        <f>A3</f>
        <v>44206</v>
      </c>
      <c r="B4" s="12" t="s">
        <v>21</v>
      </c>
      <c r="C4" s="12" t="s">
        <v>61</v>
      </c>
      <c r="D4" s="12" t="s">
        <v>22</v>
      </c>
      <c r="E4" s="12" t="s">
        <v>78</v>
      </c>
      <c r="F4" s="2" t="s">
        <v>23</v>
      </c>
      <c r="G4" s="13">
        <v>70000</v>
      </c>
      <c r="H4" s="2" t="s">
        <v>64</v>
      </c>
      <c r="I4" s="2" t="s">
        <v>67</v>
      </c>
      <c r="J4" s="28">
        <v>0.93055555555555547</v>
      </c>
      <c r="K4" s="25">
        <v>0.93888888888888899</v>
      </c>
      <c r="L4" s="28">
        <v>0.76388888888888884</v>
      </c>
      <c r="M4" s="25">
        <v>0.78819444444444453</v>
      </c>
      <c r="N4" s="26" t="s">
        <v>126</v>
      </c>
      <c r="O4" s="26" t="s">
        <v>125</v>
      </c>
      <c r="P4" s="26">
        <v>534</v>
      </c>
      <c r="Q4" s="26">
        <v>1817</v>
      </c>
      <c r="R4" s="26">
        <v>0</v>
      </c>
      <c r="S4" s="26">
        <v>0</v>
      </c>
      <c r="T4" s="26">
        <v>0</v>
      </c>
      <c r="U4" s="26">
        <v>0</v>
      </c>
    </row>
    <row r="5" spans="1:22" x14ac:dyDescent="0.2">
      <c r="A5" s="6">
        <f>A4</f>
        <v>44206</v>
      </c>
      <c r="B5" s="12" t="s">
        <v>119</v>
      </c>
      <c r="C5" s="12" t="s">
        <v>120</v>
      </c>
      <c r="D5" s="12" t="s">
        <v>121</v>
      </c>
      <c r="E5" s="12" t="s">
        <v>122</v>
      </c>
      <c r="F5" s="2" t="s">
        <v>32</v>
      </c>
      <c r="G5" s="13">
        <v>16000</v>
      </c>
      <c r="H5" s="2" t="s">
        <v>123</v>
      </c>
      <c r="I5" s="2" t="s">
        <v>123</v>
      </c>
      <c r="J5" s="25">
        <v>0.4826388888888889</v>
      </c>
      <c r="K5" s="25">
        <v>0.48333333333333334</v>
      </c>
      <c r="L5" s="25">
        <v>0.51041666666666663</v>
      </c>
      <c r="M5" s="25">
        <v>0.5</v>
      </c>
      <c r="N5" s="32"/>
      <c r="O5" s="26">
        <v>1</v>
      </c>
      <c r="P5" s="32"/>
      <c r="Q5" s="32"/>
      <c r="R5" s="26">
        <v>0</v>
      </c>
      <c r="S5" s="26">
        <v>0</v>
      </c>
      <c r="T5" s="26">
        <v>0</v>
      </c>
      <c r="U5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44207</v>
      </c>
      <c r="B2" s="12" t="s">
        <v>21</v>
      </c>
      <c r="C2" s="12" t="s">
        <v>44</v>
      </c>
      <c r="D2" s="12" t="s">
        <v>22</v>
      </c>
      <c r="E2" s="12" t="s">
        <v>127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0.4861111111111111</v>
      </c>
      <c r="L2" s="20">
        <v>0.25694444444444448</v>
      </c>
      <c r="M2" s="21">
        <v>0.30555555555555552</v>
      </c>
      <c r="N2" s="19" t="s">
        <v>129</v>
      </c>
      <c r="O2" s="19" t="s">
        <v>128</v>
      </c>
      <c r="P2" s="19">
        <v>840</v>
      </c>
      <c r="Q2" s="19">
        <v>1274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/>
      <c r="B3" s="12"/>
      <c r="C3" s="12"/>
      <c r="D3" s="12"/>
      <c r="E3" s="12"/>
      <c r="F3" s="2"/>
      <c r="G3" s="13"/>
      <c r="H3" s="2"/>
      <c r="I3" s="2"/>
      <c r="J3" s="20"/>
      <c r="K3" s="21"/>
      <c r="L3" s="20"/>
      <c r="M3" s="21"/>
      <c r="N3" s="19"/>
      <c r="O3" s="19"/>
      <c r="P3" s="19"/>
      <c r="Q3" s="19"/>
      <c r="R3" s="19"/>
      <c r="S3" s="19"/>
      <c r="T3" s="19"/>
      <c r="U3" s="19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3" max="3" width="15.28515625" bestFit="1" customWidth="1"/>
    <col min="6" max="6" width="12.140625" bestFit="1" customWidth="1"/>
    <col min="10" max="10" width="11" bestFit="1" customWidth="1"/>
    <col min="11" max="11" width="11.710937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6" customFormat="1" ht="12.75" x14ac:dyDescent="0.2">
      <c r="A2" s="34">
        <v>44209</v>
      </c>
      <c r="B2" s="26" t="s">
        <v>21</v>
      </c>
      <c r="C2" s="26" t="s">
        <v>61</v>
      </c>
      <c r="D2" s="26" t="s">
        <v>22</v>
      </c>
      <c r="E2" s="26" t="s">
        <v>112</v>
      </c>
      <c r="F2" s="26" t="s">
        <v>23</v>
      </c>
      <c r="G2" s="24">
        <v>70000</v>
      </c>
      <c r="H2" s="26" t="s">
        <v>64</v>
      </c>
      <c r="I2" s="26" t="s">
        <v>67</v>
      </c>
      <c r="J2" s="28">
        <v>0.93055555555555547</v>
      </c>
      <c r="K2" s="35" t="s">
        <v>131</v>
      </c>
      <c r="L2" s="28">
        <v>0.76388888888888884</v>
      </c>
      <c r="M2" s="25">
        <v>0.8041666666666667</v>
      </c>
      <c r="N2" s="35"/>
      <c r="O2" s="26" t="s">
        <v>130</v>
      </c>
      <c r="P2" s="35"/>
      <c r="Q2" s="26">
        <v>979</v>
      </c>
      <c r="R2" s="26">
        <v>0</v>
      </c>
      <c r="S2" s="26">
        <v>0</v>
      </c>
      <c r="T2" s="26">
        <v>0</v>
      </c>
      <c r="U2" s="26">
        <v>0</v>
      </c>
    </row>
    <row r="3" spans="1:21" s="33" customFormat="1" x14ac:dyDescent="0.25"/>
    <row r="4" spans="1:21" s="33" customFormat="1" x14ac:dyDescent="0.25"/>
    <row r="5" spans="1:21" s="33" customFormat="1" x14ac:dyDescent="0.25"/>
    <row r="6" spans="1:21" s="33" customFormat="1" x14ac:dyDescent="0.25"/>
    <row r="7" spans="1:21" s="33" customFormat="1" x14ac:dyDescent="0.25"/>
    <row r="8" spans="1:21" s="33" customFormat="1" x14ac:dyDescent="0.25"/>
    <row r="9" spans="1:21" s="33" customFormat="1" x14ac:dyDescent="0.25"/>
    <row r="10" spans="1:21" s="33" customFormat="1" x14ac:dyDescent="0.25"/>
    <row r="11" spans="1:21" s="33" customFormat="1" x14ac:dyDescent="0.25"/>
    <row r="12" spans="1:21" s="33" customFormat="1" x14ac:dyDescent="0.25"/>
    <row r="13" spans="1:21" s="33" customFormat="1" x14ac:dyDescent="0.25"/>
    <row r="14" spans="1:21" s="33" customFormat="1" x14ac:dyDescent="0.25"/>
    <row r="15" spans="1:21" s="33" customFormat="1" x14ac:dyDescent="0.25"/>
    <row r="16" spans="1:21" s="33" customFormat="1" x14ac:dyDescent="0.25"/>
    <row r="17" s="33" customFormat="1" x14ac:dyDescent="0.25"/>
    <row r="18" s="33" customFormat="1" x14ac:dyDescent="0.25"/>
    <row r="19" s="33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sqref="A1:XFD2"/>
    </sheetView>
  </sheetViews>
  <sheetFormatPr defaultRowHeight="15" x14ac:dyDescent="0.25"/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7" t="s">
        <v>132</v>
      </c>
      <c r="B2" s="12" t="s">
        <v>21</v>
      </c>
      <c r="C2" s="12" t="s">
        <v>133</v>
      </c>
      <c r="D2" s="12" t="s">
        <v>22</v>
      </c>
      <c r="E2" s="12" t="s">
        <v>112</v>
      </c>
      <c r="F2" s="2" t="s">
        <v>134</v>
      </c>
      <c r="G2" s="24">
        <v>70000</v>
      </c>
      <c r="H2" s="2" t="s">
        <v>84</v>
      </c>
      <c r="I2" s="36"/>
      <c r="J2" s="25">
        <v>0.53125</v>
      </c>
      <c r="K2" s="25">
        <v>0.56597222222222221</v>
      </c>
      <c r="L2" s="37"/>
      <c r="M2" s="37"/>
      <c r="N2" s="32"/>
      <c r="O2" s="32"/>
      <c r="P2" s="32"/>
      <c r="Q2" s="32"/>
      <c r="R2" s="26">
        <v>0</v>
      </c>
      <c r="S2" s="26">
        <v>0</v>
      </c>
      <c r="T2" s="26">
        <v>0</v>
      </c>
      <c r="U2" s="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D1" sqref="A1:XFD1048576"/>
    </sheetView>
  </sheetViews>
  <sheetFormatPr defaultRowHeight="12.75" x14ac:dyDescent="0.2"/>
  <cols>
    <col min="1" max="1" width="10.140625" style="26" bestFit="1" customWidth="1"/>
    <col min="2" max="2" width="14.28515625" style="26" bestFit="1" customWidth="1"/>
    <col min="3" max="3" width="16.85546875" style="26" bestFit="1" customWidth="1"/>
    <col min="4" max="4" width="7" style="26" bestFit="1" customWidth="1"/>
    <col min="5" max="5" width="15.28515625" style="26" bestFit="1" customWidth="1"/>
    <col min="6" max="6" width="12.140625" style="26" bestFit="1" customWidth="1"/>
    <col min="7" max="10" width="9.140625" style="26"/>
    <col min="11" max="11" width="10.85546875" style="26" bestFit="1" customWidth="1"/>
    <col min="12" max="12" width="9.140625" style="26"/>
    <col min="13" max="13" width="10.85546875" style="26" bestFit="1" customWidth="1"/>
    <col min="14" max="15" width="18.42578125" style="26" bestFit="1" customWidth="1"/>
    <col min="16" max="16384" width="9.140625" style="26"/>
  </cols>
  <sheetData>
    <row r="1" spans="1:21" s="1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6">
        <v>44211</v>
      </c>
      <c r="B2" s="12" t="s">
        <v>21</v>
      </c>
      <c r="C2" s="12" t="s">
        <v>44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47</v>
      </c>
      <c r="I2" s="2" t="s">
        <v>48</v>
      </c>
      <c r="J2" s="28">
        <v>0.4826388888888889</v>
      </c>
      <c r="K2" s="25">
        <v>0.47291666666666665</v>
      </c>
      <c r="L2" s="28">
        <v>0.27430555555555552</v>
      </c>
      <c r="M2" s="25">
        <v>0.29930555555555555</v>
      </c>
      <c r="N2" s="26" t="s">
        <v>136</v>
      </c>
      <c r="O2" s="26" t="s">
        <v>135</v>
      </c>
      <c r="P2" s="26">
        <v>1054</v>
      </c>
      <c r="Q2" s="26">
        <v>922</v>
      </c>
      <c r="R2" s="26">
        <v>0</v>
      </c>
      <c r="S2" s="26">
        <v>0</v>
      </c>
      <c r="T2" s="26">
        <v>0</v>
      </c>
      <c r="U2" s="26">
        <v>0</v>
      </c>
    </row>
    <row r="3" spans="1:21" x14ac:dyDescent="0.2">
      <c r="A3" s="6">
        <f>A2</f>
        <v>44211</v>
      </c>
      <c r="B3" s="12" t="s">
        <v>21</v>
      </c>
      <c r="C3" s="12" t="s">
        <v>26</v>
      </c>
      <c r="D3" s="12" t="s">
        <v>22</v>
      </c>
      <c r="E3" s="12" t="s">
        <v>127</v>
      </c>
      <c r="F3" s="2" t="s">
        <v>23</v>
      </c>
      <c r="G3" s="13">
        <v>70000</v>
      </c>
      <c r="H3" s="2" t="s">
        <v>63</v>
      </c>
      <c r="I3" s="2" t="s">
        <v>66</v>
      </c>
      <c r="J3" s="28">
        <v>0.74305555555555547</v>
      </c>
      <c r="K3" s="25">
        <v>0.72638888888888886</v>
      </c>
      <c r="L3" s="28">
        <v>0.53472222222222221</v>
      </c>
      <c r="M3" s="25">
        <v>0.54027777777777775</v>
      </c>
      <c r="N3" s="26" t="s">
        <v>138</v>
      </c>
      <c r="O3" s="26" t="s">
        <v>137</v>
      </c>
      <c r="P3" s="26">
        <v>685</v>
      </c>
      <c r="Q3" s="26">
        <v>1062</v>
      </c>
      <c r="R3" s="26">
        <v>0</v>
      </c>
      <c r="S3" s="26">
        <v>0</v>
      </c>
      <c r="T3" s="26">
        <v>0</v>
      </c>
      <c r="U3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8" sqref="A8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3.5703125" bestFit="1" customWidth="1"/>
    <col min="4" max="4" width="7" bestFit="1" customWidth="1"/>
    <col min="5" max="5" width="7.8554687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44212</v>
      </c>
      <c r="B2" s="12" t="s">
        <v>21</v>
      </c>
      <c r="C2" s="12" t="s">
        <v>38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39</v>
      </c>
      <c r="I2" s="2" t="s">
        <v>40</v>
      </c>
      <c r="J2" s="28">
        <v>0.47916666666666669</v>
      </c>
      <c r="K2" s="25">
        <v>0.4777777777777778</v>
      </c>
      <c r="L2" s="28">
        <v>0.27430555555555552</v>
      </c>
      <c r="M2" s="25">
        <v>0.29166666666666669</v>
      </c>
      <c r="N2" s="26" t="s">
        <v>140</v>
      </c>
      <c r="O2" s="26" t="s">
        <v>139</v>
      </c>
      <c r="P2" s="26">
        <v>821</v>
      </c>
      <c r="Q2" s="26">
        <v>1223</v>
      </c>
      <c r="R2" s="26">
        <v>0</v>
      </c>
      <c r="S2" s="26">
        <v>0</v>
      </c>
      <c r="T2" s="26">
        <v>0</v>
      </c>
      <c r="U2" s="26">
        <v>0</v>
      </c>
    </row>
    <row r="3" spans="1:21" s="22" customFormat="1" ht="12.75" x14ac:dyDescent="0.2">
      <c r="A3" s="6">
        <f>A2</f>
        <v>44212</v>
      </c>
      <c r="B3" s="12" t="s">
        <v>21</v>
      </c>
      <c r="C3" s="12" t="s">
        <v>41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42</v>
      </c>
      <c r="I3" s="2" t="s">
        <v>80</v>
      </c>
      <c r="J3" s="28">
        <v>0.64930555555555558</v>
      </c>
      <c r="K3" s="25">
        <v>0.65972222222222221</v>
      </c>
      <c r="L3" s="28">
        <v>0.5</v>
      </c>
      <c r="M3" s="25">
        <v>0.51250000000000007</v>
      </c>
      <c r="N3" s="26" t="s">
        <v>143</v>
      </c>
      <c r="O3" s="26" t="s">
        <v>141</v>
      </c>
      <c r="P3" s="26">
        <v>1347</v>
      </c>
      <c r="Q3" s="26">
        <v>1296</v>
      </c>
      <c r="R3" s="26">
        <v>0</v>
      </c>
      <c r="S3" s="26">
        <v>0</v>
      </c>
      <c r="T3" s="26">
        <v>0</v>
      </c>
      <c r="U3" s="26">
        <v>0</v>
      </c>
    </row>
    <row r="4" spans="1:21" x14ac:dyDescent="0.25">
      <c r="A4" s="34">
        <v>44212</v>
      </c>
      <c r="B4" s="12" t="s">
        <v>21</v>
      </c>
      <c r="C4" s="12" t="s">
        <v>56</v>
      </c>
      <c r="D4" s="12" t="s">
        <v>22</v>
      </c>
      <c r="E4" s="12" t="s">
        <v>112</v>
      </c>
      <c r="F4" s="2" t="s">
        <v>23</v>
      </c>
      <c r="G4" s="24">
        <v>70000</v>
      </c>
      <c r="H4" s="2" t="s">
        <v>53</v>
      </c>
      <c r="I4" s="2" t="s">
        <v>54</v>
      </c>
      <c r="J4" s="28">
        <v>0.94791666666666663</v>
      </c>
      <c r="K4" s="25">
        <v>0.94097222222222221</v>
      </c>
      <c r="L4" s="28">
        <v>0.71527777777777779</v>
      </c>
      <c r="M4" s="29">
        <v>0.72777777777777775</v>
      </c>
      <c r="N4" s="30" t="s">
        <v>144</v>
      </c>
      <c r="O4" s="30" t="s">
        <v>142</v>
      </c>
      <c r="P4" s="30">
        <v>494</v>
      </c>
      <c r="Q4" s="30">
        <v>1716</v>
      </c>
      <c r="R4" s="26">
        <v>0</v>
      </c>
      <c r="S4" s="26">
        <v>0</v>
      </c>
      <c r="T4" s="26">
        <v>0</v>
      </c>
      <c r="U4" s="26">
        <v>0</v>
      </c>
    </row>
    <row r="5" spans="1:21" x14ac:dyDescent="0.25">
      <c r="A5" s="27"/>
      <c r="B5" s="12"/>
      <c r="C5" s="12"/>
      <c r="D5" s="12"/>
      <c r="E5" s="12"/>
      <c r="F5" s="2"/>
      <c r="G5" s="24"/>
      <c r="H5" s="2"/>
      <c r="I5" s="2"/>
      <c r="J5" s="25"/>
      <c r="K5" s="25"/>
      <c r="L5" s="25"/>
      <c r="M5" s="25"/>
      <c r="N5" s="26"/>
      <c r="O5" s="26"/>
      <c r="P5" s="26"/>
      <c r="Q5" s="26"/>
      <c r="R5" s="26"/>
      <c r="S5" s="26"/>
      <c r="T5" s="26"/>
      <c r="U5" s="26"/>
    </row>
    <row r="6" spans="1:2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K4" sqref="K4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ht="12.75" x14ac:dyDescent="0.2">
      <c r="A2" s="6">
        <v>44213</v>
      </c>
      <c r="B2" s="12" t="s">
        <v>21</v>
      </c>
      <c r="C2" s="12" t="s">
        <v>59</v>
      </c>
      <c r="D2" s="12" t="s">
        <v>22</v>
      </c>
      <c r="E2" s="12" t="s">
        <v>78</v>
      </c>
      <c r="F2" s="2" t="s">
        <v>23</v>
      </c>
      <c r="G2" s="13">
        <v>70000</v>
      </c>
      <c r="H2" s="12" t="s">
        <v>62</v>
      </c>
      <c r="I2" s="12" t="s">
        <v>65</v>
      </c>
      <c r="J2" s="14">
        <v>0.45833333333333331</v>
      </c>
      <c r="K2" s="15">
        <v>0.46527777777777773</v>
      </c>
      <c r="L2" s="14">
        <v>0.27430555555555552</v>
      </c>
      <c r="M2" s="15">
        <v>0.29375000000000001</v>
      </c>
      <c r="N2" s="16" t="s">
        <v>146</v>
      </c>
      <c r="O2" s="16" t="s">
        <v>145</v>
      </c>
      <c r="P2" s="17">
        <v>885</v>
      </c>
      <c r="Q2" s="16">
        <v>982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s="26" customFormat="1" ht="12.75" x14ac:dyDescent="0.2">
      <c r="A3" s="6">
        <f>A2</f>
        <v>44213</v>
      </c>
      <c r="B3" s="12" t="s">
        <v>21</v>
      </c>
      <c r="C3" s="12" t="s">
        <v>60</v>
      </c>
      <c r="D3" s="12" t="s">
        <v>22</v>
      </c>
      <c r="E3" s="12" t="s">
        <v>112</v>
      </c>
      <c r="F3" s="2" t="s">
        <v>23</v>
      </c>
      <c r="G3" s="13">
        <v>70000</v>
      </c>
      <c r="H3" s="2" t="s">
        <v>63</v>
      </c>
      <c r="I3" s="2" t="s">
        <v>66</v>
      </c>
      <c r="J3" s="28">
        <v>0.74305555555555547</v>
      </c>
      <c r="K3" s="25">
        <v>0.74444444444444446</v>
      </c>
      <c r="L3" s="28">
        <v>0.50694444444444442</v>
      </c>
      <c r="M3" s="25">
        <v>0.52569444444444446</v>
      </c>
      <c r="N3" s="26" t="s">
        <v>148</v>
      </c>
      <c r="O3" s="26" t="s">
        <v>147</v>
      </c>
      <c r="P3" s="26">
        <v>570</v>
      </c>
      <c r="Q3" s="26">
        <v>1642</v>
      </c>
      <c r="R3" s="26">
        <v>0</v>
      </c>
      <c r="S3" s="26">
        <v>0</v>
      </c>
      <c r="T3" s="26">
        <v>0</v>
      </c>
      <c r="U3" s="26">
        <v>0</v>
      </c>
    </row>
    <row r="4" spans="1:22" s="26" customFormat="1" ht="12.75" x14ac:dyDescent="0.2">
      <c r="A4" s="6">
        <f>A3</f>
        <v>44213</v>
      </c>
      <c r="B4" s="12" t="s">
        <v>21</v>
      </c>
      <c r="C4" s="12" t="s">
        <v>61</v>
      </c>
      <c r="D4" s="12" t="s">
        <v>22</v>
      </c>
      <c r="E4" s="12" t="s">
        <v>112</v>
      </c>
      <c r="F4" s="2" t="s">
        <v>23</v>
      </c>
      <c r="G4" s="13">
        <v>70000</v>
      </c>
      <c r="H4" s="2" t="s">
        <v>64</v>
      </c>
      <c r="I4" s="2" t="s">
        <v>67</v>
      </c>
      <c r="J4" s="28">
        <v>0.93055555555555547</v>
      </c>
      <c r="K4" s="25">
        <v>0.93333333333333324</v>
      </c>
      <c r="L4" s="28">
        <v>0.76388888888888884</v>
      </c>
      <c r="M4" s="25">
        <v>0.78125</v>
      </c>
      <c r="N4" s="26" t="s">
        <v>150</v>
      </c>
      <c r="O4" s="26" t="s">
        <v>149</v>
      </c>
      <c r="P4" s="26">
        <v>788</v>
      </c>
      <c r="Q4" s="26">
        <v>1435</v>
      </c>
      <c r="R4" s="26">
        <v>0</v>
      </c>
      <c r="S4" s="26">
        <v>0</v>
      </c>
      <c r="T4" s="26">
        <v>0</v>
      </c>
      <c r="U4" s="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44214</v>
      </c>
      <c r="B2" s="12" t="s">
        <v>21</v>
      </c>
      <c r="C2" s="12" t="s">
        <v>44</v>
      </c>
      <c r="D2" s="12" t="s">
        <v>22</v>
      </c>
      <c r="E2" s="12" t="s">
        <v>151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0.4597222222222222</v>
      </c>
      <c r="L2" s="20">
        <v>0.25694444444444448</v>
      </c>
      <c r="M2" s="21">
        <v>0.27430555555555552</v>
      </c>
      <c r="N2" s="19" t="s">
        <v>152</v>
      </c>
      <c r="O2" s="19" t="s">
        <v>90</v>
      </c>
      <c r="P2" s="19">
        <v>1206</v>
      </c>
      <c r="Q2" s="19">
        <v>1156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/>
      <c r="B3" s="12"/>
      <c r="C3" s="12"/>
      <c r="D3" s="12"/>
      <c r="E3" s="12"/>
      <c r="F3" s="2"/>
      <c r="G3" s="13"/>
      <c r="H3" s="2"/>
      <c r="I3" s="2"/>
      <c r="J3" s="20"/>
      <c r="K3" s="21"/>
      <c r="L3" s="20"/>
      <c r="M3" s="21"/>
      <c r="N3" s="19"/>
      <c r="O3" s="19"/>
      <c r="P3" s="19"/>
      <c r="Q3" s="19"/>
      <c r="R3" s="19"/>
      <c r="S3" s="19"/>
      <c r="T3" s="19"/>
      <c r="U3" s="1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F1" workbookViewId="0">
      <selection activeCell="Q2" sqref="Q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44215</v>
      </c>
      <c r="B2" s="12" t="s">
        <v>153</v>
      </c>
      <c r="C2" s="12" t="s">
        <v>154</v>
      </c>
      <c r="D2" s="12" t="s">
        <v>157</v>
      </c>
      <c r="E2" s="12" t="s">
        <v>156</v>
      </c>
      <c r="F2" s="2" t="s">
        <v>155</v>
      </c>
      <c r="G2" s="13">
        <v>3175</v>
      </c>
      <c r="H2" s="2"/>
      <c r="I2" s="2"/>
      <c r="J2" s="20">
        <v>0.57638888888888895</v>
      </c>
      <c r="K2" s="21">
        <v>0.57152777777777775</v>
      </c>
      <c r="L2" s="20">
        <v>0.59375</v>
      </c>
      <c r="M2" s="21">
        <v>0.59375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</row>
    <row r="3" spans="1:21" s="22" customFormat="1" ht="12.75" x14ac:dyDescent="0.2">
      <c r="A3" s="6"/>
      <c r="B3" s="12"/>
      <c r="C3" s="12"/>
      <c r="D3" s="12"/>
      <c r="E3" s="12"/>
      <c r="F3" s="2"/>
      <c r="G3" s="13"/>
      <c r="H3" s="2"/>
      <c r="I3" s="2"/>
      <c r="J3" s="20"/>
      <c r="K3" s="21"/>
      <c r="L3" s="20"/>
      <c r="M3" s="21"/>
      <c r="N3" s="19"/>
      <c r="O3" s="19"/>
      <c r="P3" s="19"/>
      <c r="Q3" s="19"/>
      <c r="R3" s="19"/>
      <c r="S3" s="19"/>
      <c r="T3" s="19"/>
      <c r="U3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5.28515625" bestFit="1" customWidth="1"/>
    <col min="6" max="6" width="17" bestFit="1" customWidth="1"/>
    <col min="10" max="10" width="11" bestFit="1" customWidth="1"/>
    <col min="11" max="11" width="11.710937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6" customFormat="1" ht="12.75" x14ac:dyDescent="0.2">
      <c r="A2" s="34">
        <v>44216</v>
      </c>
      <c r="B2" s="26" t="s">
        <v>21</v>
      </c>
      <c r="C2" s="26" t="s">
        <v>61</v>
      </c>
      <c r="D2" s="26" t="s">
        <v>22</v>
      </c>
      <c r="E2" s="26" t="s">
        <v>112</v>
      </c>
      <c r="F2" s="26" t="s">
        <v>23</v>
      </c>
      <c r="G2" s="24">
        <v>70000</v>
      </c>
      <c r="H2" s="26" t="s">
        <v>64</v>
      </c>
      <c r="I2" s="26" t="s">
        <v>67</v>
      </c>
      <c r="J2" s="28">
        <v>0.93055555555555547</v>
      </c>
      <c r="K2" s="40">
        <v>0.91736111111111107</v>
      </c>
      <c r="L2" s="28">
        <v>0.76388888888888884</v>
      </c>
      <c r="M2" s="25">
        <v>0.76180555555555562</v>
      </c>
      <c r="N2" s="38" t="s">
        <v>165</v>
      </c>
      <c r="O2" s="26" t="s">
        <v>166</v>
      </c>
      <c r="P2" s="38">
        <v>732</v>
      </c>
      <c r="Q2" s="26">
        <v>624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">
      <c r="A3" s="34">
        <v>44216</v>
      </c>
      <c r="B3" s="26" t="s">
        <v>158</v>
      </c>
      <c r="C3" s="26" t="s">
        <v>164</v>
      </c>
      <c r="D3" s="26" t="s">
        <v>159</v>
      </c>
      <c r="E3" s="26" t="s">
        <v>160</v>
      </c>
      <c r="F3" s="26" t="s">
        <v>161</v>
      </c>
      <c r="G3" s="26">
        <v>2250</v>
      </c>
      <c r="H3" s="26" t="s">
        <v>162</v>
      </c>
      <c r="I3" s="26" t="s">
        <v>162</v>
      </c>
      <c r="J3" s="28">
        <v>0.54166666666666663</v>
      </c>
      <c r="K3" s="25">
        <v>0.55069444444444449</v>
      </c>
      <c r="L3" s="28">
        <v>0.5625</v>
      </c>
      <c r="M3" s="25">
        <v>0.57777777777777783</v>
      </c>
      <c r="N3" s="26" t="s">
        <v>163</v>
      </c>
      <c r="O3" s="26" t="s">
        <v>163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</row>
    <row r="4" spans="1:21" s="33" customFormat="1" x14ac:dyDescent="0.25">
      <c r="L4" s="39"/>
    </row>
    <row r="5" spans="1:21" s="33" customFormat="1" x14ac:dyDescent="0.25"/>
    <row r="6" spans="1:21" s="33" customFormat="1" x14ac:dyDescent="0.25"/>
    <row r="7" spans="1:21" s="33" customFormat="1" x14ac:dyDescent="0.25"/>
    <row r="8" spans="1:21" s="33" customFormat="1" x14ac:dyDescent="0.25"/>
    <row r="9" spans="1:21" s="33" customFormat="1" x14ac:dyDescent="0.25"/>
    <row r="10" spans="1:21" s="33" customFormat="1" x14ac:dyDescent="0.25"/>
    <row r="11" spans="1:21" s="33" customFormat="1" x14ac:dyDescent="0.25"/>
    <row r="12" spans="1:21" s="33" customFormat="1" x14ac:dyDescent="0.25"/>
    <row r="13" spans="1:21" s="33" customFormat="1" x14ac:dyDescent="0.25"/>
    <row r="14" spans="1:21" s="33" customFormat="1" x14ac:dyDescent="0.25"/>
    <row r="15" spans="1:21" s="33" customFormat="1" x14ac:dyDescent="0.25"/>
    <row r="16" spans="1:21" s="33" customFormat="1" x14ac:dyDescent="0.25"/>
    <row r="17" s="33" customFormat="1" x14ac:dyDescent="0.25"/>
    <row r="18" s="33" customFormat="1" x14ac:dyDescent="0.25"/>
    <row r="19" s="33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3"/>
    </sheetView>
  </sheetViews>
  <sheetFormatPr defaultRowHeight="12.75" x14ac:dyDescent="0.2"/>
  <cols>
    <col min="1" max="1" width="10.140625" style="26" bestFit="1" customWidth="1"/>
    <col min="2" max="2" width="14.28515625" style="26" bestFit="1" customWidth="1"/>
    <col min="3" max="3" width="16.85546875" style="26" bestFit="1" customWidth="1"/>
    <col min="4" max="4" width="7" style="26" bestFit="1" customWidth="1"/>
    <col min="5" max="5" width="15.28515625" style="26" bestFit="1" customWidth="1"/>
    <col min="6" max="6" width="12.140625" style="26" bestFit="1" customWidth="1"/>
    <col min="7" max="10" width="9.140625" style="26"/>
    <col min="11" max="11" width="10.85546875" style="26" bestFit="1" customWidth="1"/>
    <col min="12" max="12" width="9.140625" style="26"/>
    <col min="13" max="13" width="10.85546875" style="26" bestFit="1" customWidth="1"/>
    <col min="14" max="15" width="18.42578125" style="26" bestFit="1" customWidth="1"/>
    <col min="16" max="16384" width="9.140625" style="26"/>
  </cols>
  <sheetData>
    <row r="1" spans="1:21" s="1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6">
        <v>44218</v>
      </c>
      <c r="B2" s="12" t="s">
        <v>21</v>
      </c>
      <c r="C2" s="12" t="s">
        <v>26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24</v>
      </c>
      <c r="I2" s="2" t="s">
        <v>25</v>
      </c>
      <c r="J2" s="28">
        <v>0.72916666666666663</v>
      </c>
      <c r="K2" s="25">
        <v>0.71944444444444444</v>
      </c>
      <c r="L2" s="28">
        <v>0.52083333333333337</v>
      </c>
      <c r="M2" s="25">
        <v>0.52500000000000002</v>
      </c>
      <c r="N2" s="26" t="s">
        <v>168</v>
      </c>
      <c r="O2" s="26" t="s">
        <v>167</v>
      </c>
      <c r="P2" s="26">
        <v>867</v>
      </c>
      <c r="Q2" s="26">
        <v>1060</v>
      </c>
      <c r="R2" s="26">
        <v>0</v>
      </c>
      <c r="S2" s="26">
        <v>0</v>
      </c>
      <c r="T2" s="26">
        <v>0</v>
      </c>
      <c r="U2" s="26">
        <v>0</v>
      </c>
    </row>
    <row r="3" spans="1:21" x14ac:dyDescent="0.2">
      <c r="A3" s="6">
        <v>44218</v>
      </c>
      <c r="B3" s="12" t="s">
        <v>21</v>
      </c>
      <c r="C3" s="12" t="s">
        <v>44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47</v>
      </c>
      <c r="I3" s="2" t="s">
        <v>48</v>
      </c>
      <c r="J3" s="28">
        <v>0.94097222222222221</v>
      </c>
      <c r="K3" s="25">
        <v>0.9375</v>
      </c>
      <c r="L3" s="28">
        <v>0.75</v>
      </c>
      <c r="M3" s="25">
        <v>0.75416666666666676</v>
      </c>
      <c r="N3" s="26" t="s">
        <v>170</v>
      </c>
      <c r="O3" s="26" t="s">
        <v>169</v>
      </c>
      <c r="P3" s="26">
        <v>1421</v>
      </c>
      <c r="Q3" s="26">
        <v>1188</v>
      </c>
      <c r="R3" s="26">
        <v>0</v>
      </c>
      <c r="S3" s="26">
        <v>0</v>
      </c>
      <c r="T3" s="26">
        <v>0</v>
      </c>
      <c r="U3" s="2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F1" workbookViewId="0">
      <selection activeCell="F1" sqref="A1:XFD1048576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3.5703125" bestFit="1" customWidth="1"/>
    <col min="4" max="4" width="7" bestFit="1" customWidth="1"/>
    <col min="5" max="5" width="7.8554687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44219</v>
      </c>
      <c r="B2" s="12" t="s">
        <v>21</v>
      </c>
      <c r="C2" s="12" t="s">
        <v>38</v>
      </c>
      <c r="D2" s="12" t="s">
        <v>22</v>
      </c>
      <c r="E2" s="12" t="s">
        <v>112</v>
      </c>
      <c r="F2" s="2" t="s">
        <v>23</v>
      </c>
      <c r="G2" s="13">
        <v>70000</v>
      </c>
      <c r="H2" s="2" t="s">
        <v>39</v>
      </c>
      <c r="I2" s="2" t="s">
        <v>40</v>
      </c>
      <c r="J2" s="28">
        <v>0.47916666666666669</v>
      </c>
      <c r="K2" s="25">
        <v>0.47916666666666669</v>
      </c>
      <c r="L2" s="28">
        <v>0.27430555555555552</v>
      </c>
      <c r="M2" s="25">
        <v>0.27569444444444446</v>
      </c>
      <c r="N2" s="26" t="s">
        <v>172</v>
      </c>
      <c r="O2" s="26" t="s">
        <v>139</v>
      </c>
      <c r="P2" s="26">
        <v>940</v>
      </c>
      <c r="Q2" s="26">
        <v>1247</v>
      </c>
      <c r="R2" s="26">
        <v>0</v>
      </c>
      <c r="S2" s="26">
        <v>0</v>
      </c>
      <c r="T2" s="26">
        <v>0</v>
      </c>
      <c r="U2" s="26">
        <v>0</v>
      </c>
    </row>
    <row r="3" spans="1:21" s="22" customFormat="1" ht="12.75" x14ac:dyDescent="0.2">
      <c r="A3" s="6">
        <f>A2</f>
        <v>44219</v>
      </c>
      <c r="B3" s="12" t="s">
        <v>21</v>
      </c>
      <c r="C3" s="12" t="s">
        <v>41</v>
      </c>
      <c r="D3" s="12" t="s">
        <v>22</v>
      </c>
      <c r="E3" s="12" t="s">
        <v>112</v>
      </c>
      <c r="F3" s="2" t="s">
        <v>23</v>
      </c>
      <c r="G3" s="13">
        <v>70000</v>
      </c>
      <c r="H3" s="2" t="s">
        <v>42</v>
      </c>
      <c r="I3" s="2" t="s">
        <v>80</v>
      </c>
      <c r="J3" s="28">
        <v>0.64930555555555558</v>
      </c>
      <c r="K3" s="25">
        <v>0.64861111111111114</v>
      </c>
      <c r="L3" s="28">
        <v>0.5</v>
      </c>
      <c r="M3" s="25">
        <v>0.51180555555555551</v>
      </c>
      <c r="N3" s="26" t="s">
        <v>173</v>
      </c>
      <c r="O3" s="26" t="s">
        <v>171</v>
      </c>
      <c r="P3" s="26">
        <v>1283</v>
      </c>
      <c r="Q3" s="26">
        <v>1481</v>
      </c>
      <c r="R3" s="26">
        <v>0</v>
      </c>
      <c r="S3" s="26">
        <v>0</v>
      </c>
      <c r="T3" s="26">
        <v>0</v>
      </c>
      <c r="U3" s="26">
        <v>0</v>
      </c>
    </row>
    <row r="4" spans="1:21" x14ac:dyDescent="0.25">
      <c r="A4" s="34"/>
      <c r="B4" s="12"/>
      <c r="C4" s="12"/>
      <c r="D4" s="12"/>
      <c r="E4" s="12"/>
      <c r="F4" s="2"/>
      <c r="G4" s="24"/>
      <c r="H4" s="2"/>
      <c r="I4" s="2"/>
      <c r="J4" s="28"/>
      <c r="K4" s="25"/>
      <c r="L4" s="28"/>
      <c r="M4" s="29"/>
      <c r="N4" s="30"/>
      <c r="O4" s="30"/>
      <c r="P4" s="30"/>
      <c r="Q4" s="30"/>
      <c r="R4" s="26"/>
      <c r="S4" s="26"/>
      <c r="T4" s="26"/>
      <c r="U4" s="26"/>
    </row>
    <row r="5" spans="1:21" x14ac:dyDescent="0.25">
      <c r="A5" s="27"/>
      <c r="B5" s="12"/>
      <c r="C5" s="12"/>
      <c r="D5" s="12"/>
      <c r="E5" s="12"/>
      <c r="F5" s="2"/>
      <c r="G5" s="24"/>
      <c r="H5" s="2"/>
      <c r="I5" s="2"/>
      <c r="J5" s="25"/>
      <c r="K5" s="25"/>
      <c r="L5" s="25"/>
      <c r="M5" s="25"/>
      <c r="N5" s="26"/>
      <c r="O5" s="26"/>
      <c r="P5" s="26"/>
      <c r="Q5" s="26"/>
      <c r="R5" s="26"/>
      <c r="S5" s="26"/>
      <c r="T5" s="26"/>
      <c r="U5" s="26"/>
    </row>
    <row r="6" spans="1:2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C1" workbookViewId="0">
      <selection activeCell="Q4" sqref="Q4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ht="12.75" x14ac:dyDescent="0.2">
      <c r="A2" s="6">
        <v>44220</v>
      </c>
      <c r="B2" s="12" t="s">
        <v>21</v>
      </c>
      <c r="C2" s="12" t="s">
        <v>59</v>
      </c>
      <c r="D2" s="12" t="s">
        <v>22</v>
      </c>
      <c r="E2" s="12" t="s">
        <v>78</v>
      </c>
      <c r="F2" s="2" t="s">
        <v>23</v>
      </c>
      <c r="G2" s="13">
        <v>70000</v>
      </c>
      <c r="H2" s="12" t="s">
        <v>62</v>
      </c>
      <c r="I2" s="12" t="s">
        <v>65</v>
      </c>
      <c r="J2" s="14">
        <v>0.45833333333333331</v>
      </c>
      <c r="K2" s="15">
        <v>0.50347222222222221</v>
      </c>
      <c r="L2" s="14">
        <v>0.27430555555555552</v>
      </c>
      <c r="M2" s="15">
        <v>0.30208333333333331</v>
      </c>
      <c r="N2" s="16" t="s">
        <v>175</v>
      </c>
      <c r="O2" s="16" t="s">
        <v>174</v>
      </c>
      <c r="P2" s="17">
        <v>767</v>
      </c>
      <c r="Q2" s="16">
        <v>1073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s="26" customFormat="1" ht="12.75" x14ac:dyDescent="0.2">
      <c r="A3" s="6">
        <f>A2</f>
        <v>44220</v>
      </c>
      <c r="B3" s="12" t="s">
        <v>21</v>
      </c>
      <c r="C3" s="12" t="s">
        <v>60</v>
      </c>
      <c r="D3" s="12" t="s">
        <v>22</v>
      </c>
      <c r="E3" s="12" t="s">
        <v>112</v>
      </c>
      <c r="F3" s="2" t="s">
        <v>23</v>
      </c>
      <c r="G3" s="13">
        <v>70000</v>
      </c>
      <c r="H3" s="2" t="s">
        <v>63</v>
      </c>
      <c r="I3" s="2" t="s">
        <v>66</v>
      </c>
      <c r="J3" s="28">
        <v>0.74305555555555547</v>
      </c>
      <c r="K3" s="25">
        <v>0.73125000000000007</v>
      </c>
      <c r="L3" s="28">
        <v>0.50694444444444442</v>
      </c>
      <c r="M3" s="25">
        <v>0.50972222222222219</v>
      </c>
      <c r="N3" s="26" t="s">
        <v>177</v>
      </c>
      <c r="O3" s="26" t="s">
        <v>176</v>
      </c>
      <c r="P3" s="26">
        <v>988</v>
      </c>
      <c r="Q3" s="26">
        <v>1756</v>
      </c>
      <c r="R3" s="26">
        <v>0</v>
      </c>
      <c r="S3" s="26">
        <v>0</v>
      </c>
      <c r="T3" s="26">
        <v>0</v>
      </c>
      <c r="U3" s="26">
        <v>0</v>
      </c>
    </row>
    <row r="4" spans="1:22" s="26" customFormat="1" ht="12.75" x14ac:dyDescent="0.2">
      <c r="A4" s="6">
        <f>A3</f>
        <v>44220</v>
      </c>
      <c r="B4" s="12" t="s">
        <v>21</v>
      </c>
      <c r="C4" s="12" t="s">
        <v>61</v>
      </c>
      <c r="D4" s="12" t="s">
        <v>22</v>
      </c>
      <c r="E4" s="12" t="s">
        <v>112</v>
      </c>
      <c r="F4" s="2" t="s">
        <v>23</v>
      </c>
      <c r="G4" s="13">
        <v>70000</v>
      </c>
      <c r="H4" s="2" t="s">
        <v>64</v>
      </c>
      <c r="I4" s="2" t="s">
        <v>67</v>
      </c>
      <c r="J4" s="28">
        <v>0.93055555555555547</v>
      </c>
      <c r="K4" s="25">
        <v>0.92361111111111116</v>
      </c>
      <c r="L4" s="28">
        <v>0.76388888888888884</v>
      </c>
      <c r="M4" s="25">
        <v>0.77083333333333337</v>
      </c>
      <c r="N4" s="26" t="s">
        <v>178</v>
      </c>
      <c r="O4" s="26" t="s">
        <v>179</v>
      </c>
      <c r="P4" s="26">
        <v>731</v>
      </c>
      <c r="Q4" s="26">
        <v>988</v>
      </c>
      <c r="R4" s="26">
        <v>0</v>
      </c>
      <c r="S4" s="26">
        <v>0</v>
      </c>
      <c r="T4" s="26">
        <v>0</v>
      </c>
      <c r="U4" s="2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C1" workbookViewId="0">
      <selection activeCell="I13" sqref="I13"/>
    </sheetView>
  </sheetViews>
  <sheetFormatPr defaultRowHeight="15" x14ac:dyDescent="0.25"/>
  <cols>
    <col min="3" max="3" width="13.28515625" bestFit="1" customWidth="1"/>
    <col min="5" max="5" width="7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44221</v>
      </c>
      <c r="B2" s="12" t="s">
        <v>21</v>
      </c>
      <c r="C2" s="12" t="s">
        <v>44</v>
      </c>
      <c r="D2" s="12" t="s">
        <v>22</v>
      </c>
      <c r="E2" s="12" t="s">
        <v>151</v>
      </c>
      <c r="F2" s="2" t="s">
        <v>23</v>
      </c>
      <c r="G2" s="13">
        <v>70000</v>
      </c>
      <c r="H2" s="2" t="s">
        <v>47</v>
      </c>
      <c r="I2" s="2" t="s">
        <v>48</v>
      </c>
      <c r="J2" s="20">
        <v>0.45833333333333331</v>
      </c>
      <c r="K2" s="21">
        <v>0.45555555555555555</v>
      </c>
      <c r="L2" s="20">
        <v>0.25694444444444448</v>
      </c>
      <c r="M2" s="21">
        <v>0.27777777777777779</v>
      </c>
      <c r="N2" s="19" t="s">
        <v>181</v>
      </c>
      <c r="O2" s="19" t="s">
        <v>180</v>
      </c>
      <c r="P2" s="19">
        <v>978</v>
      </c>
      <c r="Q2" s="19">
        <v>654</v>
      </c>
      <c r="R2" s="19">
        <v>0</v>
      </c>
      <c r="S2" s="19">
        <v>0</v>
      </c>
      <c r="T2" s="19">
        <v>0</v>
      </c>
      <c r="U2" s="1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D1" workbookViewId="0">
      <selection activeCell="N12" sqref="N12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5.28515625" bestFit="1" customWidth="1"/>
    <col min="6" max="6" width="17" bestFit="1" customWidth="1"/>
    <col min="10" max="10" width="11" bestFit="1" customWidth="1"/>
    <col min="11" max="11" width="11.710937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6" customFormat="1" ht="12.75" x14ac:dyDescent="0.2">
      <c r="A2" s="34">
        <v>44223</v>
      </c>
      <c r="B2" s="26" t="s">
        <v>21</v>
      </c>
      <c r="C2" s="26" t="s">
        <v>61</v>
      </c>
      <c r="D2" s="26" t="s">
        <v>22</v>
      </c>
      <c r="E2" s="26" t="s">
        <v>112</v>
      </c>
      <c r="F2" s="26" t="s">
        <v>23</v>
      </c>
      <c r="G2" s="24">
        <v>70000</v>
      </c>
      <c r="H2" s="26" t="s">
        <v>64</v>
      </c>
      <c r="I2" s="26" t="s">
        <v>67</v>
      </c>
      <c r="J2" s="28">
        <v>0.93055555555555547</v>
      </c>
      <c r="K2" s="40">
        <v>0.94027777777777777</v>
      </c>
      <c r="L2" s="28">
        <v>0.76388888888888884</v>
      </c>
      <c r="M2" s="25">
        <v>0.77986111111111101</v>
      </c>
      <c r="N2" s="38" t="s">
        <v>183</v>
      </c>
      <c r="O2" s="26" t="s">
        <v>182</v>
      </c>
      <c r="P2" s="38">
        <v>933</v>
      </c>
      <c r="Q2" s="26">
        <v>495</v>
      </c>
      <c r="R2" s="26">
        <v>0</v>
      </c>
      <c r="S2" s="26">
        <v>0</v>
      </c>
      <c r="T2" s="26">
        <v>0</v>
      </c>
      <c r="U2" s="26">
        <v>0</v>
      </c>
    </row>
    <row r="3" spans="1:21" s="33" customFormat="1" x14ac:dyDescent="0.25">
      <c r="L3" s="39"/>
    </row>
    <row r="4" spans="1:21" s="33" customFormat="1" x14ac:dyDescent="0.25"/>
    <row r="5" spans="1:21" s="33" customFormat="1" x14ac:dyDescent="0.25"/>
    <row r="6" spans="1:21" s="33" customFormat="1" x14ac:dyDescent="0.25"/>
    <row r="7" spans="1:21" s="33" customFormat="1" x14ac:dyDescent="0.25"/>
    <row r="8" spans="1:21" s="33" customFormat="1" x14ac:dyDescent="0.25"/>
    <row r="9" spans="1:21" s="33" customFormat="1" x14ac:dyDescent="0.25"/>
    <row r="10" spans="1:21" s="33" customFormat="1" x14ac:dyDescent="0.25"/>
    <row r="11" spans="1:21" s="33" customFormat="1" x14ac:dyDescent="0.25"/>
    <row r="12" spans="1:21" s="33" customFormat="1" x14ac:dyDescent="0.25"/>
    <row r="13" spans="1:21" s="33" customFormat="1" x14ac:dyDescent="0.25"/>
    <row r="14" spans="1:21" s="33" customFormat="1" x14ac:dyDescent="0.25"/>
    <row r="15" spans="1:21" s="33" customFormat="1" x14ac:dyDescent="0.25"/>
    <row r="16" spans="1:21" s="33" customFormat="1" x14ac:dyDescent="0.25"/>
    <row r="17" s="33" customFormat="1" x14ac:dyDescent="0.25"/>
    <row r="18" s="33" customFormat="1" x14ac:dyDescent="0.25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D1" workbookViewId="0">
      <selection activeCell="K3" sqref="K3"/>
    </sheetView>
  </sheetViews>
  <sheetFormatPr defaultRowHeight="15" x14ac:dyDescent="0.25"/>
  <cols>
    <col min="1" max="1" width="8.7109375" bestFit="1" customWidth="1"/>
    <col min="3" max="3" width="13.285156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6" customFormat="1" ht="12.75" x14ac:dyDescent="0.2">
      <c r="A2" s="6">
        <v>44225</v>
      </c>
      <c r="B2" s="12" t="s">
        <v>21</v>
      </c>
      <c r="C2" s="12" t="s">
        <v>26</v>
      </c>
      <c r="D2" s="12" t="s">
        <v>22</v>
      </c>
      <c r="E2" s="12" t="s">
        <v>78</v>
      </c>
      <c r="F2" s="2" t="s">
        <v>23</v>
      </c>
      <c r="G2" s="13">
        <v>70000</v>
      </c>
      <c r="H2" s="2" t="s">
        <v>24</v>
      </c>
      <c r="I2" s="2" t="s">
        <v>25</v>
      </c>
      <c r="J2" s="28">
        <v>0.72916666666666663</v>
      </c>
      <c r="K2" s="25">
        <v>0.72777777777777775</v>
      </c>
      <c r="L2" s="28">
        <v>0.52083333333333337</v>
      </c>
      <c r="M2" s="25">
        <v>0.52569444444444446</v>
      </c>
      <c r="N2" s="26" t="s">
        <v>185</v>
      </c>
      <c r="O2" s="26" t="s">
        <v>184</v>
      </c>
      <c r="P2" s="26">
        <v>625</v>
      </c>
      <c r="Q2" s="26">
        <v>847</v>
      </c>
      <c r="R2" s="26">
        <v>0</v>
      </c>
      <c r="S2" s="26">
        <v>0</v>
      </c>
      <c r="T2" s="26">
        <v>0</v>
      </c>
      <c r="U2" s="26">
        <v>0</v>
      </c>
    </row>
    <row r="3" spans="1:21" s="26" customFormat="1" ht="12.75" x14ac:dyDescent="0.2">
      <c r="A3" s="6">
        <v>44225</v>
      </c>
      <c r="B3" s="12" t="s">
        <v>21</v>
      </c>
      <c r="C3" s="12" t="s">
        <v>44</v>
      </c>
      <c r="D3" s="12" t="s">
        <v>22</v>
      </c>
      <c r="E3" s="12" t="s">
        <v>78</v>
      </c>
      <c r="F3" s="2" t="s">
        <v>23</v>
      </c>
      <c r="G3" s="13">
        <v>70000</v>
      </c>
      <c r="H3" s="2" t="s">
        <v>47</v>
      </c>
      <c r="I3" s="2" t="s">
        <v>48</v>
      </c>
      <c r="J3" s="28">
        <v>0.94097222222222221</v>
      </c>
      <c r="K3" s="25">
        <v>0.94236111111111109</v>
      </c>
      <c r="L3" s="28">
        <v>0.75</v>
      </c>
      <c r="M3" s="25">
        <v>0.75763888888888886</v>
      </c>
      <c r="N3" s="26" t="s">
        <v>186</v>
      </c>
      <c r="O3" s="26" t="s">
        <v>187</v>
      </c>
      <c r="P3" s="26">
        <v>1056</v>
      </c>
      <c r="Q3" s="26">
        <v>1215</v>
      </c>
      <c r="R3" s="26">
        <v>0</v>
      </c>
      <c r="S3" s="26">
        <v>0</v>
      </c>
      <c r="T3" s="26">
        <v>0</v>
      </c>
      <c r="U3" s="2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="85" zoomScaleNormal="85" workbookViewId="0">
      <selection activeCell="A12" sqref="A12:U1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8.5703125" bestFit="1" customWidth="1"/>
    <col min="4" max="4" width="8.42578125" bestFit="1" customWidth="1"/>
    <col min="5" max="5" width="7.85546875" bestFit="1" customWidth="1"/>
    <col min="6" max="6" width="21.85546875" bestFit="1" customWidth="1"/>
    <col min="10" max="10" width="17.14062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2" customFormat="1" ht="12.75" x14ac:dyDescent="0.2">
      <c r="A2" s="6">
        <v>44226</v>
      </c>
      <c r="B2" s="12" t="s">
        <v>21</v>
      </c>
      <c r="C2" s="12" t="s">
        <v>38</v>
      </c>
      <c r="D2" s="12" t="s">
        <v>22</v>
      </c>
      <c r="E2" s="12" t="s">
        <v>112</v>
      </c>
      <c r="F2" s="2" t="s">
        <v>23</v>
      </c>
      <c r="G2" s="13">
        <v>70000</v>
      </c>
      <c r="H2" s="2" t="s">
        <v>39</v>
      </c>
      <c r="I2" s="2" t="s">
        <v>40</v>
      </c>
      <c r="J2" s="28">
        <v>0.47916666666666669</v>
      </c>
      <c r="K2" s="25">
        <v>0.48680555555555555</v>
      </c>
      <c r="L2" s="28">
        <v>0.27430555555555552</v>
      </c>
      <c r="M2" s="25">
        <v>0.29166666666666669</v>
      </c>
      <c r="N2" s="26" t="s">
        <v>189</v>
      </c>
      <c r="O2" s="26" t="s">
        <v>188</v>
      </c>
      <c r="P2" s="26">
        <v>1036</v>
      </c>
      <c r="Q2" s="26">
        <v>1283</v>
      </c>
      <c r="R2" s="26">
        <v>0</v>
      </c>
      <c r="S2" s="26">
        <v>0</v>
      </c>
      <c r="T2" s="26">
        <v>0</v>
      </c>
      <c r="U2" s="26">
        <v>0</v>
      </c>
    </row>
    <row r="3" spans="1:21" s="22" customFormat="1" ht="12.75" x14ac:dyDescent="0.2">
      <c r="A3" s="6">
        <f t="shared" ref="A3:A10" si="0">A2</f>
        <v>44226</v>
      </c>
      <c r="B3" s="12" t="s">
        <v>21</v>
      </c>
      <c r="C3" s="12" t="s">
        <v>41</v>
      </c>
      <c r="D3" s="12" t="s">
        <v>22</v>
      </c>
      <c r="E3" s="12" t="s">
        <v>112</v>
      </c>
      <c r="F3" s="2" t="s">
        <v>23</v>
      </c>
      <c r="G3" s="13">
        <v>70000</v>
      </c>
      <c r="H3" s="2" t="s">
        <v>42</v>
      </c>
      <c r="I3" s="2" t="s">
        <v>43</v>
      </c>
      <c r="J3" s="28">
        <v>0.64930555555555558</v>
      </c>
      <c r="K3" s="25">
        <v>0.67222222222222217</v>
      </c>
      <c r="L3" s="28">
        <v>0.5</v>
      </c>
      <c r="M3" s="25">
        <v>0.52430555555555558</v>
      </c>
      <c r="N3" s="26" t="s">
        <v>209</v>
      </c>
      <c r="O3" s="26" t="s">
        <v>203</v>
      </c>
      <c r="P3" s="26">
        <v>1386</v>
      </c>
      <c r="Q3" s="26">
        <v>1165</v>
      </c>
      <c r="R3" s="26">
        <v>0</v>
      </c>
      <c r="S3" s="26">
        <v>0</v>
      </c>
      <c r="T3" s="26">
        <v>0</v>
      </c>
      <c r="U3" s="26">
        <v>0</v>
      </c>
    </row>
    <row r="4" spans="1:21" s="23" customFormat="1" x14ac:dyDescent="0.25">
      <c r="A4" s="6">
        <f t="shared" si="0"/>
        <v>44226</v>
      </c>
      <c r="B4" s="12" t="s">
        <v>190</v>
      </c>
      <c r="C4" s="12" t="s">
        <v>191</v>
      </c>
      <c r="D4" s="12" t="s">
        <v>194</v>
      </c>
      <c r="E4" s="12" t="s">
        <v>197</v>
      </c>
      <c r="F4" s="2" t="s">
        <v>192</v>
      </c>
      <c r="G4" s="24">
        <v>1315</v>
      </c>
      <c r="H4" s="2" t="s">
        <v>162</v>
      </c>
      <c r="I4" s="2" t="s">
        <v>162</v>
      </c>
      <c r="J4" s="28">
        <v>0.5625</v>
      </c>
      <c r="K4" s="25">
        <v>0.55833333333333335</v>
      </c>
      <c r="L4" s="28" t="s">
        <v>193</v>
      </c>
      <c r="M4" s="28" t="s">
        <v>193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</row>
    <row r="5" spans="1:21" s="23" customFormat="1" x14ac:dyDescent="0.25">
      <c r="A5" s="6">
        <f t="shared" si="0"/>
        <v>44226</v>
      </c>
      <c r="B5" s="12" t="s">
        <v>190</v>
      </c>
      <c r="C5" s="12" t="s">
        <v>191</v>
      </c>
      <c r="D5" s="12" t="s">
        <v>195</v>
      </c>
      <c r="E5" s="12" t="s">
        <v>198</v>
      </c>
      <c r="F5" s="2" t="s">
        <v>192</v>
      </c>
      <c r="G5" s="24">
        <v>1156</v>
      </c>
      <c r="H5" s="2" t="s">
        <v>162</v>
      </c>
      <c r="I5" s="2" t="s">
        <v>162</v>
      </c>
      <c r="J5" s="28">
        <v>0.5625</v>
      </c>
      <c r="K5" s="25">
        <v>0.56874999999999998</v>
      </c>
      <c r="L5" s="28" t="s">
        <v>193</v>
      </c>
      <c r="M5" s="28" t="s">
        <v>193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</row>
    <row r="6" spans="1:21" s="23" customFormat="1" x14ac:dyDescent="0.25">
      <c r="A6" s="6">
        <f t="shared" si="0"/>
        <v>44226</v>
      </c>
      <c r="B6" s="12" t="s">
        <v>190</v>
      </c>
      <c r="C6" s="12" t="s">
        <v>191</v>
      </c>
      <c r="D6" s="26" t="s">
        <v>196</v>
      </c>
      <c r="E6" s="26" t="s">
        <v>199</v>
      </c>
      <c r="F6" s="2" t="s">
        <v>192</v>
      </c>
      <c r="G6" s="24">
        <v>2200</v>
      </c>
      <c r="H6" s="26" t="s">
        <v>162</v>
      </c>
      <c r="I6" s="26" t="s">
        <v>162</v>
      </c>
      <c r="J6" s="28">
        <v>0.5625</v>
      </c>
      <c r="K6" s="25">
        <v>0.57291666666666663</v>
      </c>
      <c r="L6" s="28" t="s">
        <v>193</v>
      </c>
      <c r="M6" s="28" t="s">
        <v>193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</row>
    <row r="7" spans="1:21" s="23" customFormat="1" x14ac:dyDescent="0.25">
      <c r="A7" s="6">
        <f t="shared" si="0"/>
        <v>44226</v>
      </c>
      <c r="B7" s="12" t="s">
        <v>190</v>
      </c>
      <c r="C7" s="12" t="s">
        <v>191</v>
      </c>
      <c r="D7" s="12" t="s">
        <v>194</v>
      </c>
      <c r="E7" s="12" t="s">
        <v>200</v>
      </c>
      <c r="F7" s="2" t="s">
        <v>192</v>
      </c>
      <c r="G7" s="24">
        <v>1315</v>
      </c>
      <c r="H7" s="2" t="s">
        <v>162</v>
      </c>
      <c r="I7" s="2" t="s">
        <v>162</v>
      </c>
      <c r="J7" s="28">
        <v>0.5625</v>
      </c>
      <c r="K7" s="25">
        <v>0.57638888888888895</v>
      </c>
      <c r="L7" s="28" t="s">
        <v>193</v>
      </c>
      <c r="M7" s="28" t="s">
        <v>193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</row>
    <row r="8" spans="1:21" s="23" customFormat="1" x14ac:dyDescent="0.25">
      <c r="A8" s="6">
        <f t="shared" si="0"/>
        <v>44226</v>
      </c>
      <c r="B8" s="12" t="s">
        <v>190</v>
      </c>
      <c r="C8" s="12" t="s">
        <v>191</v>
      </c>
      <c r="D8" s="12" t="s">
        <v>195</v>
      </c>
      <c r="E8" s="12" t="s">
        <v>201</v>
      </c>
      <c r="F8" s="2" t="s">
        <v>192</v>
      </c>
      <c r="G8" s="24">
        <v>1025</v>
      </c>
      <c r="H8" s="2" t="s">
        <v>162</v>
      </c>
      <c r="I8" s="2" t="s">
        <v>162</v>
      </c>
      <c r="J8" s="28">
        <v>0.5625</v>
      </c>
      <c r="K8" s="25">
        <v>0.57777777777777783</v>
      </c>
      <c r="L8" s="28" t="s">
        <v>193</v>
      </c>
      <c r="M8" s="28" t="s">
        <v>193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</row>
    <row r="9" spans="1:21" s="23" customFormat="1" x14ac:dyDescent="0.25">
      <c r="A9" s="6">
        <f t="shared" si="0"/>
        <v>44226</v>
      </c>
      <c r="B9" s="12" t="s">
        <v>190</v>
      </c>
      <c r="C9" s="12" t="s">
        <v>191</v>
      </c>
      <c r="D9" s="26" t="s">
        <v>210</v>
      </c>
      <c r="E9" s="26" t="s">
        <v>202</v>
      </c>
      <c r="F9" s="2" t="s">
        <v>192</v>
      </c>
      <c r="G9" s="24">
        <v>1633</v>
      </c>
      <c r="H9" s="2" t="s">
        <v>162</v>
      </c>
      <c r="I9" s="2" t="s">
        <v>162</v>
      </c>
      <c r="J9" s="28">
        <v>0.625</v>
      </c>
      <c r="K9" s="25">
        <v>0.63888888888888895</v>
      </c>
      <c r="L9" s="28" t="s">
        <v>193</v>
      </c>
      <c r="M9" s="28" t="s">
        <v>193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</row>
    <row r="10" spans="1:21" s="23" customFormat="1" x14ac:dyDescent="0.25">
      <c r="A10" s="6">
        <f t="shared" si="0"/>
        <v>44226</v>
      </c>
      <c r="B10" s="12" t="s">
        <v>190</v>
      </c>
      <c r="C10" s="12" t="s">
        <v>191</v>
      </c>
      <c r="D10" s="26" t="s">
        <v>211</v>
      </c>
      <c r="E10" s="26" t="s">
        <v>204</v>
      </c>
      <c r="F10" s="2" t="s">
        <v>192</v>
      </c>
      <c r="G10" s="24" t="s">
        <v>212</v>
      </c>
      <c r="H10" s="2" t="s">
        <v>162</v>
      </c>
      <c r="I10" s="2" t="s">
        <v>162</v>
      </c>
      <c r="J10" s="28">
        <v>0.625</v>
      </c>
      <c r="K10" s="25">
        <v>0.64930555555555558</v>
      </c>
      <c r="L10" s="28" t="s">
        <v>193</v>
      </c>
      <c r="M10" s="28" t="s">
        <v>193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</row>
    <row r="11" spans="1:21" s="26" customFormat="1" ht="12.75" x14ac:dyDescent="0.2">
      <c r="A11" s="34">
        <v>44226</v>
      </c>
      <c r="B11" s="12" t="s">
        <v>153</v>
      </c>
      <c r="C11" s="12" t="s">
        <v>205</v>
      </c>
      <c r="D11" s="26" t="s">
        <v>206</v>
      </c>
      <c r="E11" s="26" t="s">
        <v>207</v>
      </c>
      <c r="F11" s="2" t="s">
        <v>208</v>
      </c>
      <c r="G11" s="24">
        <v>3175</v>
      </c>
      <c r="H11" s="2" t="s">
        <v>162</v>
      </c>
      <c r="I11" s="2" t="s">
        <v>162</v>
      </c>
      <c r="J11" s="25">
        <v>0.70833333333333337</v>
      </c>
      <c r="K11" s="25">
        <v>0.72222222222222221</v>
      </c>
      <c r="L11" s="25">
        <v>0.71875</v>
      </c>
      <c r="M11" s="25">
        <v>0.74375000000000002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</row>
    <row r="12" spans="1:21" s="23" customFormat="1" x14ac:dyDescent="0.25">
      <c r="A12" s="34">
        <v>44226</v>
      </c>
      <c r="B12" s="12" t="s">
        <v>213</v>
      </c>
      <c r="C12" s="12" t="s">
        <v>214</v>
      </c>
      <c r="D12" s="26" t="s">
        <v>215</v>
      </c>
      <c r="E12" s="26" t="s">
        <v>216</v>
      </c>
      <c r="F12" s="2" t="s">
        <v>217</v>
      </c>
      <c r="G12" s="41">
        <v>79000</v>
      </c>
      <c r="H12" s="2" t="s">
        <v>218</v>
      </c>
      <c r="I12" s="2" t="s">
        <v>193</v>
      </c>
      <c r="J12" s="42">
        <v>0.69791666666666663</v>
      </c>
      <c r="K12" s="42">
        <v>0.70416666666666661</v>
      </c>
      <c r="L12" s="23" t="s">
        <v>193</v>
      </c>
      <c r="M12" s="23" t="s">
        <v>193</v>
      </c>
      <c r="N12" s="23" t="s">
        <v>219</v>
      </c>
      <c r="O12" s="23">
        <v>0</v>
      </c>
      <c r="P12" s="23">
        <v>1364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tabSelected="1" topLeftCell="D1" workbookViewId="0">
      <selection activeCell="O15" sqref="O15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s="11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17" customFormat="1" ht="12.75" x14ac:dyDescent="0.2">
      <c r="A2" s="6">
        <v>44227</v>
      </c>
      <c r="B2" s="12" t="s">
        <v>21</v>
      </c>
      <c r="C2" s="12" t="s">
        <v>59</v>
      </c>
      <c r="D2" s="12" t="s">
        <v>22</v>
      </c>
      <c r="E2" s="12" t="s">
        <v>78</v>
      </c>
      <c r="F2" s="2" t="s">
        <v>23</v>
      </c>
      <c r="G2" s="13">
        <v>70000</v>
      </c>
      <c r="H2" s="12" t="s">
        <v>62</v>
      </c>
      <c r="I2" s="12" t="s">
        <v>65</v>
      </c>
      <c r="J2" s="14">
        <v>0.45833333333333331</v>
      </c>
      <c r="K2" s="15">
        <v>0.48055555555555557</v>
      </c>
      <c r="L2" s="14">
        <v>0.27430555555555552</v>
      </c>
      <c r="M2" s="15">
        <v>0.27361111111111108</v>
      </c>
      <c r="N2" s="16" t="s">
        <v>220</v>
      </c>
      <c r="O2" s="16" t="s">
        <v>221</v>
      </c>
      <c r="P2" s="17">
        <v>905</v>
      </c>
      <c r="Q2" s="16">
        <v>884</v>
      </c>
      <c r="R2" s="12">
        <v>0</v>
      </c>
      <c r="S2" s="12">
        <v>0</v>
      </c>
      <c r="T2" s="12">
        <v>0</v>
      </c>
      <c r="U2" s="12">
        <v>0</v>
      </c>
      <c r="V2" s="18"/>
    </row>
    <row r="3" spans="1:22" s="26" customFormat="1" ht="12.75" x14ac:dyDescent="0.2">
      <c r="A3" s="6">
        <f>A2</f>
        <v>44227</v>
      </c>
      <c r="B3" s="12" t="s">
        <v>21</v>
      </c>
      <c r="C3" s="12" t="s">
        <v>60</v>
      </c>
      <c r="D3" s="12" t="s">
        <v>22</v>
      </c>
      <c r="E3" s="12" t="s">
        <v>112</v>
      </c>
      <c r="F3" s="2" t="s">
        <v>23</v>
      </c>
      <c r="G3" s="13">
        <v>70000</v>
      </c>
      <c r="H3" s="2" t="s">
        <v>63</v>
      </c>
      <c r="I3" s="2" t="s">
        <v>66</v>
      </c>
      <c r="J3" s="28">
        <v>0.74305555555555547</v>
      </c>
      <c r="K3" s="25">
        <v>0.72916666666666663</v>
      </c>
      <c r="L3" s="28">
        <v>0.50694444444444442</v>
      </c>
      <c r="M3" s="25">
        <v>0.51250000000000007</v>
      </c>
      <c r="N3" s="26" t="s">
        <v>225</v>
      </c>
      <c r="O3" s="26" t="s">
        <v>222</v>
      </c>
      <c r="P3" s="26">
        <v>965</v>
      </c>
      <c r="Q3" s="26">
        <v>1693</v>
      </c>
      <c r="R3" s="26">
        <v>0</v>
      </c>
      <c r="S3" s="26">
        <v>0</v>
      </c>
      <c r="T3" s="26">
        <v>0</v>
      </c>
      <c r="U3" s="26">
        <v>0</v>
      </c>
    </row>
    <row r="4" spans="1:22" s="26" customFormat="1" ht="12.75" x14ac:dyDescent="0.2">
      <c r="A4" s="6">
        <f>A3</f>
        <v>44227</v>
      </c>
      <c r="B4" s="12" t="s">
        <v>21</v>
      </c>
      <c r="C4" s="12" t="s">
        <v>61</v>
      </c>
      <c r="D4" s="12" t="s">
        <v>22</v>
      </c>
      <c r="E4" s="12" t="s">
        <v>112</v>
      </c>
      <c r="F4" s="2" t="s">
        <v>23</v>
      </c>
      <c r="G4" s="13">
        <v>70000</v>
      </c>
      <c r="H4" s="2" t="s">
        <v>64</v>
      </c>
      <c r="I4" s="2" t="s">
        <v>67</v>
      </c>
      <c r="J4" s="28">
        <v>0.93055555555555547</v>
      </c>
      <c r="K4" s="25">
        <v>0.92361111111111116</v>
      </c>
      <c r="L4" s="28">
        <v>0.76388888888888884</v>
      </c>
      <c r="M4" s="25">
        <v>0.76666666666666661</v>
      </c>
      <c r="N4" s="26" t="s">
        <v>226</v>
      </c>
      <c r="O4" s="26" t="s">
        <v>224</v>
      </c>
      <c r="P4" s="26">
        <v>1000</v>
      </c>
      <c r="Q4" s="26">
        <v>1017</v>
      </c>
      <c r="R4" s="26">
        <v>0</v>
      </c>
      <c r="S4" s="26">
        <v>0</v>
      </c>
      <c r="T4" s="26">
        <v>0</v>
      </c>
      <c r="U4" s="26">
        <v>0</v>
      </c>
    </row>
    <row r="5" spans="1:22" x14ac:dyDescent="0.25">
      <c r="A5" s="34">
        <v>44227</v>
      </c>
      <c r="B5" s="12" t="s">
        <v>213</v>
      </c>
      <c r="C5" s="12" t="s">
        <v>223</v>
      </c>
      <c r="D5" s="26" t="s">
        <v>215</v>
      </c>
      <c r="E5" s="26" t="s">
        <v>216</v>
      </c>
      <c r="F5" s="2" t="s">
        <v>217</v>
      </c>
      <c r="G5" s="24">
        <v>79000</v>
      </c>
      <c r="H5" s="36"/>
      <c r="I5" s="2" t="s">
        <v>218</v>
      </c>
      <c r="J5" s="37"/>
      <c r="K5" s="37"/>
      <c r="L5" s="25">
        <v>0.29166666666666669</v>
      </c>
      <c r="M5" s="25">
        <v>0.2951388888888889</v>
      </c>
      <c r="N5" s="26">
        <v>0</v>
      </c>
      <c r="O5" s="26">
        <v>0</v>
      </c>
      <c r="P5" s="26">
        <v>0</v>
      </c>
      <c r="Q5" s="26">
        <v>0</v>
      </c>
      <c r="R5" s="23">
        <v>0</v>
      </c>
      <c r="S5" s="23">
        <v>0</v>
      </c>
      <c r="T5" s="23">
        <v>0</v>
      </c>
      <c r="U5" s="23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20</vt:lpstr>
      <vt:lpstr>22</vt:lpstr>
      <vt:lpstr>23</vt:lpstr>
      <vt:lpstr>24</vt:lpstr>
      <vt:lpstr>25</vt:lpstr>
      <vt:lpstr>27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2019-01-01T04:46:06Z</dcterms:created>
  <dcterms:modified xsi:type="dcterms:W3CDTF">2021-01-31T20:59:44Z</dcterms:modified>
</cp:coreProperties>
</file>