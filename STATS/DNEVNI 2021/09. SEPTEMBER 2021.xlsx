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15" windowWidth="18195" windowHeight="9180" tabRatio="640" firstSheet="9" activeTab="29"/>
  </bookViews>
  <sheets>
    <sheet name="1" sheetId="31" r:id="rId1"/>
    <sheet name="2" sheetId="63" r:id="rId2"/>
    <sheet name="3" sheetId="64" r:id="rId3"/>
    <sheet name="4" sheetId="34" r:id="rId4"/>
    <sheet name="5" sheetId="35" r:id="rId5"/>
    <sheet name="6" sheetId="36" r:id="rId6"/>
    <sheet name="7" sheetId="37" r:id="rId7"/>
    <sheet name="8" sheetId="39" r:id="rId8"/>
    <sheet name="9" sheetId="65" r:id="rId9"/>
    <sheet name="10" sheetId="41" r:id="rId10"/>
    <sheet name="11" sheetId="42" r:id="rId11"/>
    <sheet name="12" sheetId="43" r:id="rId12"/>
    <sheet name="13" sheetId="44" r:id="rId13"/>
    <sheet name="14" sheetId="45" r:id="rId14"/>
    <sheet name="15" sheetId="66" r:id="rId15"/>
    <sheet name="16" sheetId="67" r:id="rId16"/>
    <sheet name="17" sheetId="48" r:id="rId17"/>
    <sheet name="18" sheetId="49" r:id="rId18"/>
    <sheet name="19" sheetId="50" r:id="rId19"/>
    <sheet name="20" sheetId="68" r:id="rId20"/>
    <sheet name="21" sheetId="52" r:id="rId21"/>
    <sheet name="22" sheetId="53" r:id="rId22"/>
    <sheet name="23" sheetId="69" r:id="rId23"/>
    <sheet name="24" sheetId="70" r:id="rId24"/>
    <sheet name="25" sheetId="71" r:id="rId25"/>
    <sheet name="26" sheetId="72" r:id="rId26"/>
    <sheet name="27" sheetId="73" r:id="rId27"/>
    <sheet name="28" sheetId="74" r:id="rId28"/>
    <sheet name="29" sheetId="75" r:id="rId29"/>
    <sheet name="30" sheetId="76" r:id="rId30"/>
  </sheets>
  <calcPr calcId="145621"/>
</workbook>
</file>

<file path=xl/calcChain.xml><?xml version="1.0" encoding="utf-8"?>
<calcChain xmlns="http://schemas.openxmlformats.org/spreadsheetml/2006/main">
  <c r="E4" i="76" l="1"/>
  <c r="E4" i="69" l="1"/>
  <c r="H14" i="53" l="1"/>
  <c r="I14" i="53" s="1"/>
  <c r="H13" i="53"/>
  <c r="I13" i="53" s="1"/>
  <c r="H12" i="53"/>
  <c r="I12" i="53" s="1"/>
  <c r="H10" i="53"/>
  <c r="I10" i="53" s="1"/>
  <c r="H9" i="53"/>
  <c r="I9" i="53" s="1"/>
  <c r="H8" i="53"/>
  <c r="I8" i="53" s="1"/>
  <c r="H7" i="53"/>
  <c r="I7" i="53" s="1"/>
  <c r="H6" i="53"/>
  <c r="I6" i="53" s="1"/>
  <c r="H14" i="52" l="1"/>
  <c r="I14" i="52" s="1"/>
  <c r="H13" i="52"/>
  <c r="I13" i="52" s="1"/>
  <c r="H12" i="52"/>
  <c r="I12" i="52" s="1"/>
  <c r="I10" i="52"/>
  <c r="H10" i="52"/>
  <c r="H9" i="52"/>
  <c r="I9" i="52" s="1"/>
  <c r="I8" i="52"/>
  <c r="H8" i="52"/>
  <c r="I7" i="52"/>
  <c r="H7" i="52"/>
  <c r="H6" i="52"/>
  <c r="I6" i="52" s="1"/>
  <c r="H14" i="50" l="1"/>
  <c r="I14" i="50" s="1"/>
  <c r="H13" i="50"/>
  <c r="I13" i="50" s="1"/>
  <c r="H12" i="50"/>
  <c r="I12" i="50" s="1"/>
  <c r="B12" i="50"/>
  <c r="H10" i="50"/>
  <c r="I10" i="50" s="1"/>
  <c r="I9" i="50"/>
  <c r="H9" i="50"/>
  <c r="I8" i="50"/>
  <c r="H8" i="50"/>
  <c r="I7" i="50"/>
  <c r="H7" i="50"/>
  <c r="I6" i="50"/>
  <c r="H6" i="50"/>
  <c r="H16" i="49" l="1"/>
  <c r="I16" i="49" s="1"/>
  <c r="H15" i="49"/>
  <c r="I15" i="49" s="1"/>
  <c r="H14" i="49"/>
  <c r="I14" i="49" s="1"/>
  <c r="B14" i="49"/>
  <c r="I12" i="49"/>
  <c r="H12" i="49"/>
  <c r="I11" i="49"/>
  <c r="H11" i="49"/>
  <c r="I10" i="49"/>
  <c r="H10" i="49"/>
  <c r="I9" i="49"/>
  <c r="H9" i="49"/>
  <c r="I8" i="49"/>
  <c r="H8" i="49"/>
  <c r="H16" i="48" l="1"/>
  <c r="I16" i="48" s="1"/>
  <c r="H15" i="48" l="1"/>
  <c r="I15" i="48" s="1"/>
  <c r="H14" i="48"/>
  <c r="I14" i="48" s="1"/>
  <c r="B14" i="48"/>
  <c r="H12" i="48"/>
  <c r="I12" i="48" s="1"/>
  <c r="H11" i="48"/>
  <c r="I11" i="48" s="1"/>
  <c r="H10" i="48"/>
  <c r="I10" i="48" s="1"/>
  <c r="H9" i="48"/>
  <c r="I9" i="48" s="1"/>
  <c r="H8" i="48"/>
  <c r="I8" i="48" s="1"/>
  <c r="H7" i="48"/>
  <c r="I7" i="48" s="1"/>
  <c r="H25" i="67" l="1"/>
  <c r="I25" i="67" s="1"/>
  <c r="H24" i="67"/>
  <c r="I24" i="67" s="1"/>
  <c r="B24" i="67"/>
  <c r="I22" i="67"/>
  <c r="H22" i="67"/>
  <c r="I21" i="67"/>
  <c r="H21" i="67"/>
  <c r="I20" i="67"/>
  <c r="H20" i="67"/>
  <c r="I19" i="67"/>
  <c r="H19" i="67"/>
  <c r="I18" i="67"/>
  <c r="H18" i="67"/>
  <c r="I17" i="67"/>
  <c r="H17" i="67"/>
  <c r="H14" i="67"/>
  <c r="I14" i="67" s="1"/>
  <c r="I13" i="67" l="1"/>
  <c r="H13" i="67"/>
  <c r="B13" i="67"/>
  <c r="H11" i="67"/>
  <c r="I11" i="67" s="1"/>
  <c r="H10" i="67"/>
  <c r="I10" i="67" s="1"/>
  <c r="H9" i="67"/>
  <c r="I9" i="67" s="1"/>
  <c r="H8" i="67"/>
  <c r="I8" i="67" s="1"/>
  <c r="H7" i="67"/>
  <c r="I7" i="67" s="1"/>
  <c r="H6" i="67"/>
  <c r="I6" i="67" s="1"/>
  <c r="E4" i="67" l="1"/>
  <c r="H21" i="66" l="1"/>
  <c r="I21" i="66" s="1"/>
  <c r="B21" i="66"/>
  <c r="H20" i="66"/>
  <c r="I20" i="66" s="1"/>
  <c r="H19" i="66"/>
  <c r="I19" i="66" s="1"/>
  <c r="H18" i="66"/>
  <c r="I18" i="66" s="1"/>
  <c r="H17" i="66"/>
  <c r="I17" i="66" s="1"/>
  <c r="H16" i="66"/>
  <c r="I16" i="66" s="1"/>
  <c r="H15" i="66"/>
  <c r="I15" i="66" s="1"/>
  <c r="H14" i="66"/>
  <c r="I14" i="66" s="1"/>
  <c r="H13" i="66"/>
  <c r="I13" i="66" s="1"/>
  <c r="B13" i="66"/>
  <c r="H12" i="66"/>
  <c r="I12" i="66" s="1"/>
  <c r="H11" i="66"/>
  <c r="I11" i="66" s="1"/>
  <c r="H10" i="66"/>
  <c r="I10" i="66" s="1"/>
  <c r="H9" i="66"/>
  <c r="I9" i="66" s="1"/>
  <c r="H8" i="66"/>
  <c r="I8" i="66" s="1"/>
  <c r="H7" i="66"/>
  <c r="I7" i="66" s="1"/>
  <c r="H6" i="66"/>
  <c r="I6" i="66" s="1"/>
  <c r="B14" i="44" l="1"/>
  <c r="B15" i="44" s="1"/>
  <c r="A7" i="44"/>
  <c r="A8" i="44" s="1"/>
  <c r="A9" i="44" s="1"/>
  <c r="A10" i="44" s="1"/>
  <c r="A11" i="44" s="1"/>
  <c r="A12" i="44" s="1"/>
  <c r="A13" i="44" s="1"/>
  <c r="A14" i="44" s="1"/>
  <c r="A15" i="44" s="1"/>
  <c r="B16" i="42" l="1"/>
  <c r="B15" i="42"/>
  <c r="A16" i="42"/>
  <c r="A15" i="42"/>
  <c r="A8" i="42"/>
  <c r="A9" i="42" s="1"/>
  <c r="A10" i="42" s="1"/>
  <c r="A11" i="42" s="1"/>
  <c r="A12" i="42" s="1"/>
  <c r="A13" i="42" s="1"/>
  <c r="A14" i="42" s="1"/>
  <c r="E5" i="65" l="1"/>
  <c r="I7" i="39" l="1"/>
  <c r="H7" i="39"/>
  <c r="E5" i="63" l="1"/>
</calcChain>
</file>

<file path=xl/comments1.xml><?xml version="1.0" encoding="utf-8"?>
<comments xmlns="http://schemas.openxmlformats.org/spreadsheetml/2006/main">
  <authors>
    <author>OPC</author>
  </authors>
  <commentList>
    <comment ref="K2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Avion se vratio zbog tehnickih problema prvo vrijeme slijetanja 06:31</t>
        </r>
      </text>
    </comment>
    <comment ref="M2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Avion se vratio zbog tehnickih problema prvo vrijeme polijetanja 06:07</t>
        </r>
      </text>
    </comment>
  </commentList>
</comments>
</file>

<file path=xl/sharedStrings.xml><?xml version="1.0" encoding="utf-8"?>
<sst xmlns="http://schemas.openxmlformats.org/spreadsheetml/2006/main" count="2691" uniqueCount="439">
  <si>
    <t>datum</t>
  </si>
  <si>
    <t>kompanija</t>
  </si>
  <si>
    <t>ruta</t>
  </si>
  <si>
    <t>tip a/c</t>
  </si>
  <si>
    <t>reg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</si>
  <si>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</si>
  <si>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</si>
  <si>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</si>
  <si>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</si>
  <si>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</si>
  <si>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</si>
  <si>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</si>
  <si>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</si>
  <si>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</si>
  <si>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</si>
  <si>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</si>
  <si>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</si>
  <si>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</si>
  <si>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</si>
  <si>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</si>
  <si>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</si>
  <si>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</si>
  <si>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</si>
  <si>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TZL-MLH-TZL</t>
  </si>
  <si>
    <t>W64294</t>
  </si>
  <si>
    <t>W64293</t>
  </si>
  <si>
    <t>TZL-FMM-TZL</t>
  </si>
  <si>
    <t>W64280</t>
  </si>
  <si>
    <t>W64279</t>
  </si>
  <si>
    <t>TZL-CGN-TZL</t>
  </si>
  <si>
    <t>W64300</t>
  </si>
  <si>
    <t>W64299</t>
  </si>
  <si>
    <t>TZL-MMX-TZL</t>
  </si>
  <si>
    <t>W64292</t>
  </si>
  <si>
    <t>W64291</t>
  </si>
  <si>
    <t>TZL-DTM-TZL</t>
  </si>
  <si>
    <t>W64298</t>
  </si>
  <si>
    <t>W64297</t>
  </si>
  <si>
    <t>TZL-GOT-TZL</t>
  </si>
  <si>
    <t>W64296</t>
  </si>
  <si>
    <t>W64295</t>
  </si>
  <si>
    <t>TZL-HHN-TZL</t>
  </si>
  <si>
    <t>W64284</t>
  </si>
  <si>
    <t>W64283</t>
  </si>
  <si>
    <t>FREEBIRD</t>
  </si>
  <si>
    <t>AYT-TZL-AYT</t>
  </si>
  <si>
    <t>TC-FHC</t>
  </si>
  <si>
    <t>FHY821</t>
  </si>
  <si>
    <t>FHY822</t>
  </si>
  <si>
    <t>TZL-FKB-TZL</t>
  </si>
  <si>
    <t>W64618</t>
  </si>
  <si>
    <t>W64617</t>
  </si>
  <si>
    <t>W64276</t>
  </si>
  <si>
    <t>W64275</t>
  </si>
  <si>
    <t>W64290</t>
  </si>
  <si>
    <t>W64289</t>
  </si>
  <si>
    <t>TZL-VXO-TZL</t>
  </si>
  <si>
    <t>W64612</t>
  </si>
  <si>
    <t>W64611</t>
  </si>
  <si>
    <t>tip OPER</t>
  </si>
  <si>
    <t>174+3 INF</t>
  </si>
  <si>
    <t>TZL-NYO-TZL</t>
  </si>
  <si>
    <t>TZL-BLL-TZL</t>
  </si>
  <si>
    <t>W64277</t>
  </si>
  <si>
    <t>W64278</t>
  </si>
  <si>
    <t>W64282</t>
  </si>
  <si>
    <t>TZL-VIE-TZL</t>
  </si>
  <si>
    <t>W64286</t>
  </si>
  <si>
    <t>W64285</t>
  </si>
  <si>
    <t>TZL-EIN-TZL</t>
  </si>
  <si>
    <t>TZL-BER-TZL</t>
  </si>
  <si>
    <t>CH</t>
  </si>
  <si>
    <t>163+3INF</t>
  </si>
  <si>
    <t>175+5INF</t>
  </si>
  <si>
    <t>158+1 INF</t>
  </si>
  <si>
    <t>HALWP</t>
  </si>
  <si>
    <t>HALYL</t>
  </si>
  <si>
    <t>HA-LWP</t>
  </si>
  <si>
    <t>69+2 INF</t>
  </si>
  <si>
    <t>57+1 INF</t>
  </si>
  <si>
    <t>165+7 INF</t>
  </si>
  <si>
    <t>119+2 INF</t>
  </si>
  <si>
    <t>65+4INF</t>
  </si>
  <si>
    <t>156+2INF</t>
  </si>
  <si>
    <t>138+6INF</t>
  </si>
  <si>
    <t>89+2INF</t>
  </si>
  <si>
    <t>HA-LYL</t>
  </si>
  <si>
    <t>WIZZAR</t>
  </si>
  <si>
    <t>160+10 INF</t>
  </si>
  <si>
    <t>117+3 INF</t>
  </si>
  <si>
    <t>125+4 INF</t>
  </si>
  <si>
    <t>164+3 INF</t>
  </si>
  <si>
    <t>99+2 INF</t>
  </si>
  <si>
    <t>178+4 INF</t>
  </si>
  <si>
    <t>132+1 INF</t>
  </si>
  <si>
    <t>108+1 INF</t>
  </si>
  <si>
    <t>55+2 INF</t>
  </si>
  <si>
    <t>111+3 INF</t>
  </si>
  <si>
    <t>FREEBIRD AIRLINES</t>
  </si>
  <si>
    <t>180+13 INF</t>
  </si>
  <si>
    <t>76+2 INF</t>
  </si>
  <si>
    <t>160+3 INF</t>
  </si>
  <si>
    <t>109+1 INF</t>
  </si>
  <si>
    <t>179+10 INF</t>
  </si>
  <si>
    <t>106+0 INF</t>
  </si>
  <si>
    <t>176+0 INF</t>
  </si>
  <si>
    <t>135+6 INF</t>
  </si>
  <si>
    <t>178+6 INF</t>
  </si>
  <si>
    <t>136+0 INF</t>
  </si>
  <si>
    <t>162+1 INF</t>
  </si>
  <si>
    <t>157+5 INF</t>
  </si>
  <si>
    <t>141+6INF</t>
  </si>
  <si>
    <t>172+3INF</t>
  </si>
  <si>
    <t>119+4INF</t>
  </si>
  <si>
    <t>161+3INF</t>
  </si>
  <si>
    <t>166+2INF</t>
  </si>
  <si>
    <t>167+3INF</t>
  </si>
  <si>
    <t>132+4 INF</t>
  </si>
  <si>
    <t>97+2 INF</t>
  </si>
  <si>
    <t>153+8 INF</t>
  </si>
  <si>
    <t>80+2 INF</t>
  </si>
  <si>
    <t>W64281</t>
  </si>
  <si>
    <t>TZL-FDH-TZL</t>
  </si>
  <si>
    <t>W64616</t>
  </si>
  <si>
    <t>W64615</t>
  </si>
  <si>
    <t>131+1INF</t>
  </si>
  <si>
    <t>169+1INF</t>
  </si>
  <si>
    <t>39+1 INF</t>
  </si>
  <si>
    <t>81+4 INF</t>
  </si>
  <si>
    <t>159+2 INF</t>
  </si>
  <si>
    <t>156+2 INF</t>
  </si>
  <si>
    <t>107+4 INF</t>
  </si>
  <si>
    <t>AIR ASTANA</t>
  </si>
  <si>
    <t>HEL-TZL</t>
  </si>
  <si>
    <t>A32N</t>
  </si>
  <si>
    <t>P4-KBI</t>
  </si>
  <si>
    <t>CHARTER</t>
  </si>
  <si>
    <t>KC2236</t>
  </si>
  <si>
    <t>-</t>
  </si>
  <si>
    <t>44+0 INF</t>
  </si>
  <si>
    <t>93+2 INF</t>
  </si>
  <si>
    <t>06.09.2021.</t>
  </si>
  <si>
    <t>55+3 INF</t>
  </si>
  <si>
    <t>66+0 INF</t>
  </si>
  <si>
    <t>148+5 INF</t>
  </si>
  <si>
    <t>116+1 INF</t>
  </si>
  <si>
    <t>110+2 INF</t>
  </si>
  <si>
    <t>164+4 INF</t>
  </si>
  <si>
    <t>147+4 INF</t>
  </si>
  <si>
    <t>154+5 INF</t>
  </si>
  <si>
    <t>TC-FHM</t>
  </si>
  <si>
    <t>163+5 INF</t>
  </si>
  <si>
    <t>161+3 INF</t>
  </si>
  <si>
    <t xml:space="preserve"> 175+3 INF</t>
  </si>
  <si>
    <t xml:space="preserve"> 179+6 INF</t>
  </si>
  <si>
    <t>121+1 INF</t>
  </si>
  <si>
    <t xml:space="preserve"> 124+1 INF</t>
  </si>
  <si>
    <t>82+1  INF</t>
  </si>
  <si>
    <t>GOLDESK FLUG</t>
  </si>
  <si>
    <t>PC12</t>
  </si>
  <si>
    <t>OEEPH</t>
  </si>
  <si>
    <t>GA</t>
  </si>
  <si>
    <t xml:space="preserve">GDK6 </t>
  </si>
  <si>
    <t>13.00</t>
  </si>
  <si>
    <t>LOAN/ TZL/ LOAN</t>
  </si>
  <si>
    <t>175+3 INF</t>
  </si>
  <si>
    <t>47+0INF</t>
  </si>
  <si>
    <t>104+1INF</t>
  </si>
  <si>
    <t>TZL-NQZ</t>
  </si>
  <si>
    <t>KZR2236</t>
  </si>
  <si>
    <t>KZ32237</t>
  </si>
  <si>
    <t>ROP</t>
  </si>
  <si>
    <t>WIZZ AIR</t>
  </si>
  <si>
    <t>A320N</t>
  </si>
  <si>
    <t>HA-LYL/LWU</t>
  </si>
  <si>
    <t>72+0 INF</t>
  </si>
  <si>
    <t>158+5 INF</t>
  </si>
  <si>
    <t>33+0 INF</t>
  </si>
  <si>
    <t>101+1 INF</t>
  </si>
  <si>
    <t>AEROHELI INTL GMBH</t>
  </si>
  <si>
    <t>TIA-TZL-QEW</t>
  </si>
  <si>
    <t>AS355</t>
  </si>
  <si>
    <t>D-HAIF</t>
  </si>
  <si>
    <t>HEL/TECHN</t>
  </si>
  <si>
    <t>82+1 INF</t>
  </si>
  <si>
    <t>65+3 INF</t>
  </si>
  <si>
    <t>177+6 INF</t>
  </si>
  <si>
    <t>53+0 INF</t>
  </si>
  <si>
    <t>166+6 INF</t>
  </si>
  <si>
    <t>100+5 INF</t>
  </si>
  <si>
    <t>104+3 INF</t>
  </si>
  <si>
    <t>83+0 INF</t>
  </si>
  <si>
    <t>75+0 INF</t>
  </si>
  <si>
    <t>45+0 INF</t>
  </si>
  <si>
    <t>156+3 INF</t>
  </si>
  <si>
    <t>127+3 INF</t>
  </si>
  <si>
    <t>99+1 INF</t>
  </si>
  <si>
    <t>HA-LPL</t>
  </si>
  <si>
    <t>82+2INF</t>
  </si>
  <si>
    <t>162+2INF</t>
  </si>
  <si>
    <t>TC-FHY</t>
  </si>
  <si>
    <t>167+9INF</t>
  </si>
  <si>
    <t>103+1INF</t>
  </si>
  <si>
    <t>164+2INF</t>
  </si>
  <si>
    <t>137+1INF</t>
  </si>
  <si>
    <t>172+5INF</t>
  </si>
  <si>
    <t>106+2 INF</t>
  </si>
  <si>
    <t>135+4 INF</t>
  </si>
  <si>
    <t>174+7 INF</t>
  </si>
  <si>
    <t>149+4 INF</t>
  </si>
  <si>
    <t>179+6INF</t>
  </si>
  <si>
    <t>132+4INF</t>
  </si>
  <si>
    <t>GAS AVIAITON</t>
  </si>
  <si>
    <t>PA-28R</t>
  </si>
  <si>
    <t>TECH.FL.</t>
  </si>
  <si>
    <t>C172</t>
  </si>
  <si>
    <t>YUDPS</t>
  </si>
  <si>
    <t>YUFLY</t>
  </si>
  <si>
    <t>C206G</t>
  </si>
  <si>
    <t>YUBZV</t>
  </si>
  <si>
    <t>CTU206G</t>
  </si>
  <si>
    <t>YUDNZ</t>
  </si>
  <si>
    <t>LQPD-TZL</t>
  </si>
  <si>
    <t>YUDZZ</t>
  </si>
  <si>
    <t>YUDPT</t>
  </si>
  <si>
    <t>C182</t>
  </si>
  <si>
    <t>YUDEM</t>
  </si>
  <si>
    <t>YUDPU</t>
  </si>
  <si>
    <t>159+3INF</t>
  </si>
  <si>
    <t>168+2INF</t>
  </si>
  <si>
    <t>154+4 INF</t>
  </si>
  <si>
    <t>YUDTT</t>
  </si>
  <si>
    <t>169+8 INF</t>
  </si>
  <si>
    <t>129+3 INF</t>
  </si>
  <si>
    <t>108+0 INF</t>
  </si>
  <si>
    <t>151+5 INF</t>
  </si>
  <si>
    <t>68+5 INF</t>
  </si>
  <si>
    <t>110+7 INF</t>
  </si>
  <si>
    <t>159+6 INF</t>
  </si>
  <si>
    <t>85+1 INF</t>
  </si>
  <si>
    <t>54+0 INF</t>
  </si>
  <si>
    <t>166+4INF</t>
  </si>
  <si>
    <t>146+2INF</t>
  </si>
  <si>
    <t>127+4INF</t>
  </si>
  <si>
    <t>116+1INF</t>
  </si>
  <si>
    <t>124+2 INF</t>
  </si>
  <si>
    <t>13.09.2021.</t>
  </si>
  <si>
    <t>KTW-TZL-KTW</t>
  </si>
  <si>
    <t>HALWK</t>
  </si>
  <si>
    <t>W807</t>
  </si>
  <si>
    <t>W808</t>
  </si>
  <si>
    <t>49+0 INF</t>
  </si>
  <si>
    <t>162+5 INF</t>
  </si>
  <si>
    <t xml:space="preserve"> 113+2 INF</t>
  </si>
  <si>
    <t>51+1INF</t>
  </si>
  <si>
    <t>LOKO</t>
  </si>
  <si>
    <t>160+6INF</t>
  </si>
  <si>
    <t>104+4INF</t>
  </si>
  <si>
    <t>102+3INF</t>
  </si>
  <si>
    <t>AEROWAYS GmbH</t>
  </si>
  <si>
    <t>PA46T</t>
  </si>
  <si>
    <t>DFCRA</t>
  </si>
  <si>
    <t>GP</t>
  </si>
  <si>
    <t>HA-LWK</t>
  </si>
  <si>
    <t>TC-FBO</t>
  </si>
  <si>
    <t>KOMPANIJA TAKOVO</t>
  </si>
  <si>
    <t>BEG-TZL-TREBINJE</t>
  </si>
  <si>
    <t>AW109SP</t>
  </si>
  <si>
    <t>YU-HRD</t>
  </si>
  <si>
    <t>HELICOPTER</t>
  </si>
  <si>
    <t>138+0 INF</t>
  </si>
  <si>
    <t>114+2 INF</t>
  </si>
  <si>
    <t>141+2 INF</t>
  </si>
  <si>
    <t>178+3 INF</t>
  </si>
  <si>
    <t>96+3 INF</t>
  </si>
  <si>
    <t>150+6 INF</t>
  </si>
  <si>
    <t>93+0 INF</t>
  </si>
  <si>
    <t>MCK401</t>
  </si>
  <si>
    <t>SOF-TZL-MUC</t>
  </si>
  <si>
    <t>151+6 INF</t>
  </si>
  <si>
    <t>52+0 INF</t>
  </si>
  <si>
    <t>61+1 INF</t>
  </si>
  <si>
    <t>135+3 INF</t>
  </si>
  <si>
    <t>96+0 INF</t>
  </si>
  <si>
    <t>51+2 INF</t>
  </si>
  <si>
    <t>130+6 INF</t>
  </si>
  <si>
    <t>82+0 INF</t>
  </si>
  <si>
    <t>HA-LWR</t>
  </si>
  <si>
    <t>77+1 INF</t>
  </si>
  <si>
    <t>75+0INF</t>
  </si>
  <si>
    <t>GAS AVIATION</t>
  </si>
  <si>
    <t>LOCAL F.</t>
  </si>
  <si>
    <t>120+4</t>
  </si>
  <si>
    <t>59+0 INF</t>
  </si>
  <si>
    <t>135+0 INF</t>
  </si>
  <si>
    <t>111+1 INF</t>
  </si>
  <si>
    <t>119+1 INF</t>
  </si>
  <si>
    <t>117+2 INF</t>
  </si>
  <si>
    <t>HA-LYL/LWR</t>
  </si>
  <si>
    <t>85+2 INF</t>
  </si>
  <si>
    <t>120+8 INF</t>
  </si>
  <si>
    <t>100+1INF</t>
  </si>
  <si>
    <t>144+0INF</t>
  </si>
  <si>
    <t>114+1 INF</t>
  </si>
  <si>
    <t>134+7INF</t>
  </si>
  <si>
    <t>89+1 INF</t>
  </si>
  <si>
    <t>139+5 INF</t>
  </si>
  <si>
    <t>165+3 INF</t>
  </si>
  <si>
    <t xml:space="preserve"> 153+1 INF</t>
  </si>
  <si>
    <t>153+3 INF</t>
  </si>
  <si>
    <t xml:space="preserve"> 152+0 INF</t>
  </si>
  <si>
    <t>173+4 INF</t>
  </si>
  <si>
    <t xml:space="preserve"> 150+6 INF</t>
  </si>
  <si>
    <t>161+1 INF</t>
  </si>
  <si>
    <t>146+7 INF</t>
  </si>
  <si>
    <t>157+10 INF</t>
  </si>
  <si>
    <t>150+1INF</t>
  </si>
  <si>
    <t>98+2 INF</t>
  </si>
  <si>
    <t>70+1INF</t>
  </si>
  <si>
    <t>144+3INF</t>
  </si>
  <si>
    <t>151+2 INF</t>
  </si>
  <si>
    <t>155+5 INF</t>
  </si>
  <si>
    <t xml:space="preserve"> 154+2 INF</t>
  </si>
  <si>
    <t>65+1 INF</t>
  </si>
  <si>
    <t>112+2 INF</t>
  </si>
  <si>
    <t>92+0 INF</t>
  </si>
  <si>
    <t>HALWR</t>
  </si>
  <si>
    <t>33+1 INF</t>
  </si>
  <si>
    <t>131+3 INF</t>
  </si>
  <si>
    <t>120+5 INF</t>
  </si>
  <si>
    <t>106+6 INF</t>
  </si>
  <si>
    <t>138+2 INF</t>
  </si>
  <si>
    <t>152+2 INF</t>
  </si>
  <si>
    <t>97+0 INF</t>
  </si>
  <si>
    <t>127+4 INF</t>
  </si>
  <si>
    <t>106+1 INF</t>
  </si>
  <si>
    <t>127+0 INF</t>
  </si>
  <si>
    <t>92+1 INF</t>
  </si>
  <si>
    <t>GAS AVT</t>
  </si>
  <si>
    <t>128+4 INF</t>
  </si>
  <si>
    <t>138+3 INF</t>
  </si>
  <si>
    <t>HA-LYT</t>
  </si>
  <si>
    <t>W6803</t>
  </si>
  <si>
    <t>95+1 INF</t>
  </si>
  <si>
    <t>72+1INF</t>
  </si>
  <si>
    <t>BUD-TZL-BUD</t>
  </si>
  <si>
    <t>FERRY IN/OUT</t>
  </si>
  <si>
    <t>HA-LYT/LWR</t>
  </si>
  <si>
    <t>W6804</t>
  </si>
  <si>
    <t>TFT</t>
  </si>
  <si>
    <t>TZL-LQPD</t>
  </si>
  <si>
    <t>89+0 INF</t>
  </si>
  <si>
    <t>47+0 INF</t>
  </si>
  <si>
    <t>121+7 INF</t>
  </si>
  <si>
    <t>68+1 INF</t>
  </si>
  <si>
    <t>73+0 INF</t>
  </si>
  <si>
    <t>65+0 INF</t>
  </si>
  <si>
    <t>100+0 INF</t>
  </si>
  <si>
    <t>132+2 INF</t>
  </si>
  <si>
    <t>113+1 INF</t>
  </si>
  <si>
    <t>HA-LWK/LPK</t>
  </si>
  <si>
    <t>HA-LPK</t>
  </si>
  <si>
    <t>80+1 INF</t>
  </si>
  <si>
    <t>130+2 INF</t>
  </si>
  <si>
    <t>130+1 INF</t>
  </si>
  <si>
    <t>118+3 INF</t>
  </si>
  <si>
    <t>107+2 INF</t>
  </si>
  <si>
    <t>97+1INF</t>
  </si>
  <si>
    <t>142+1INF</t>
  </si>
  <si>
    <t>144+3 INF</t>
  </si>
  <si>
    <t>142+4INF</t>
  </si>
  <si>
    <t>149+7 INF</t>
  </si>
  <si>
    <t>144+2 INF</t>
  </si>
  <si>
    <t xml:space="preserve"> 163+4 INF</t>
  </si>
  <si>
    <t>134+2 INF</t>
  </si>
  <si>
    <t>162+0 INF</t>
  </si>
  <si>
    <t>180+3 INF</t>
  </si>
  <si>
    <t>159+9 INF</t>
  </si>
  <si>
    <t>KTW-TZL</t>
  </si>
  <si>
    <t>HA-LWA</t>
  </si>
  <si>
    <t>FERRY IN</t>
  </si>
  <si>
    <t>TZL-KTW</t>
  </si>
  <si>
    <t>FERRY OUT</t>
  </si>
  <si>
    <t>179+0INF</t>
  </si>
  <si>
    <t>134+5INF</t>
  </si>
  <si>
    <t>OTP-TZL-OTP</t>
  </si>
  <si>
    <t>129+1 INF</t>
  </si>
  <si>
    <t>101+0 INF</t>
  </si>
  <si>
    <t>136+7 INF</t>
  </si>
  <si>
    <t>51+1 INF</t>
  </si>
  <si>
    <t>90+0 INF</t>
  </si>
  <si>
    <t>156+4 INF</t>
  </si>
  <si>
    <t>130+3 INF</t>
  </si>
  <si>
    <t>88+2 INF</t>
  </si>
  <si>
    <t>104+2 INF</t>
  </si>
  <si>
    <t>91+1 INF</t>
  </si>
  <si>
    <t>102+2INF</t>
  </si>
  <si>
    <t>76+1INF</t>
  </si>
  <si>
    <t>153+1INF</t>
  </si>
  <si>
    <t>121+1INF</t>
  </si>
  <si>
    <t>145+2 INF</t>
  </si>
  <si>
    <t>74+4 INF</t>
  </si>
  <si>
    <t>HA-LPK/HA-LYK</t>
  </si>
  <si>
    <t>SMATSA LLC BEOGRAD</t>
  </si>
  <si>
    <t>OMO-TZL</t>
  </si>
  <si>
    <t>B350</t>
  </si>
  <si>
    <t>YU-BTC</t>
  </si>
  <si>
    <t>124+3 INF</t>
  </si>
  <si>
    <t>137+2 INF</t>
  </si>
  <si>
    <t>HELICOPTER SERVICE RS</t>
  </si>
  <si>
    <t>DOBOJ-BEG</t>
  </si>
  <si>
    <t>E7-PCI</t>
  </si>
  <si>
    <t>AW119</t>
  </si>
  <si>
    <t>110+0 INF</t>
  </si>
  <si>
    <t>126+2 INF</t>
  </si>
  <si>
    <t>HA-LYK</t>
  </si>
  <si>
    <t>44+0INF</t>
  </si>
  <si>
    <t>73+0INF</t>
  </si>
  <si>
    <t>LOCO FLIGHT</t>
  </si>
  <si>
    <t>T</t>
  </si>
  <si>
    <t>151+0INF</t>
  </si>
  <si>
    <t>94+0INF</t>
  </si>
  <si>
    <t>TZL-BNX</t>
  </si>
  <si>
    <t>87+1 INF</t>
  </si>
  <si>
    <t>99+4 INF</t>
  </si>
  <si>
    <t>79+0 INF</t>
  </si>
  <si>
    <t>69+0 INF</t>
  </si>
  <si>
    <t>79+1 INF</t>
  </si>
  <si>
    <t>NTS</t>
  </si>
  <si>
    <t>BEG-TZL-BNX</t>
  </si>
  <si>
    <t>R66</t>
  </si>
  <si>
    <t>YU-HMS</t>
  </si>
  <si>
    <t>H</t>
  </si>
  <si>
    <t>162+4INF</t>
  </si>
  <si>
    <t>66+1INF</t>
  </si>
  <si>
    <t>BNX-TZL-BEG</t>
  </si>
  <si>
    <t>86+2INF</t>
  </si>
  <si>
    <t>151+1INF</t>
  </si>
  <si>
    <t>143+2INF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</si>
</sst>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  <font>
      <b/>
      <sz val="10"/>
      <name val="Garamond"/>
      <family val="1"/>
      <charset val="238"/>
    </font>
    <font>
      <sz val="9"/>
      <color theme="1"/>
      <name val="Garamond"/>
      <family val="1"/>
      <charset val="238"/>
    </font>
    <font>
      <sz val="8"/>
      <color theme="1"/>
      <name val="Garamond"/>
      <family val="1"/>
      <charset val="238"/>
    </font>
    <font>
      <sz val="11"/>
      <color theme="1"/>
      <name val="Times New Roman"/>
      <family val="1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36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3" fontId="3" fillId="0" borderId="0" xfId="0" applyNumberFormat="1" applyFont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0" fontId="4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0" fillId="0" borderId="0" xfId="0" applyBorder="1"/>
    <xf numFmtId="14" fontId="2" fillId="0" borderId="0" xfId="3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8" fillId="2" borderId="0" xfId="0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4" fontId="0" fillId="0" borderId="0" xfId="0" applyNumberFormat="1"/>
    <xf numFmtId="20" fontId="0" fillId="0" borderId="0" xfId="0" applyNumberFormat="1"/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K4" sqref="K4"/>
    </sheetView>
  </sheetViews>
  <sheetFormatPr defaultRowHeight="15" x14ac:dyDescent="0.25"/>
  <cols>
    <col min="3" max="3" width="14" customWidth="1"/>
    <col min="6" max="6" width="19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"/>
    </row>
    <row r="2" spans="1:22" x14ac:dyDescent="0.25">
      <c r="A2" s="6">
        <v>44440</v>
      </c>
      <c r="B2" s="7" t="s">
        <v>20</v>
      </c>
      <c r="C2" s="7" t="s">
        <v>61</v>
      </c>
      <c r="D2" s="7" t="s">
        <v>21</v>
      </c>
      <c r="E2" s="7" t="s">
        <v>76</v>
      </c>
      <c r="F2" s="7" t="s">
        <v>22</v>
      </c>
      <c r="G2" s="7">
        <v>70000</v>
      </c>
      <c r="H2" s="7" t="s">
        <v>65</v>
      </c>
      <c r="I2" s="7" t="s">
        <v>34</v>
      </c>
      <c r="J2" s="8">
        <v>0.49652777777777773</v>
      </c>
      <c r="K2" s="9">
        <v>0.47361111111111115</v>
      </c>
      <c r="L2" s="8">
        <v>0.2638888888888889</v>
      </c>
      <c r="M2" s="9">
        <v>0.26180555555555557</v>
      </c>
      <c r="N2" s="7" t="s">
        <v>79</v>
      </c>
      <c r="O2" s="7" t="s">
        <v>78</v>
      </c>
      <c r="P2" s="7">
        <v>231</v>
      </c>
      <c r="Q2" s="7">
        <v>680</v>
      </c>
      <c r="R2" s="3">
        <v>0</v>
      </c>
      <c r="S2" s="3">
        <v>0</v>
      </c>
      <c r="T2" s="3">
        <v>0</v>
      </c>
      <c r="U2" s="3">
        <v>0</v>
      </c>
      <c r="V2" s="3"/>
    </row>
    <row r="3" spans="1:22" x14ac:dyDescent="0.25">
      <c r="A3" s="6">
        <v>44440</v>
      </c>
      <c r="B3" s="6" t="s">
        <v>20</v>
      </c>
      <c r="C3" s="7" t="s">
        <v>32</v>
      </c>
      <c r="D3" s="7" t="s">
        <v>21</v>
      </c>
      <c r="E3" s="7" t="s">
        <v>75</v>
      </c>
      <c r="F3" s="7" t="s">
        <v>22</v>
      </c>
      <c r="G3" s="7">
        <v>70000</v>
      </c>
      <c r="H3" s="7" t="s">
        <v>33</v>
      </c>
      <c r="I3" s="7" t="s">
        <v>33</v>
      </c>
      <c r="J3" s="8">
        <v>0.71875</v>
      </c>
      <c r="K3" s="9">
        <v>0.70624999999999993</v>
      </c>
      <c r="L3" s="8">
        <v>0.51736111111111105</v>
      </c>
      <c r="M3" s="9">
        <v>0.52222222222222225</v>
      </c>
      <c r="N3" s="7" t="s">
        <v>82</v>
      </c>
      <c r="O3" s="7" t="s">
        <v>81</v>
      </c>
      <c r="P3" s="7">
        <v>389</v>
      </c>
      <c r="Q3" s="7">
        <v>1239</v>
      </c>
      <c r="R3" s="7">
        <v>0</v>
      </c>
      <c r="S3" s="7">
        <v>0</v>
      </c>
      <c r="T3" s="7">
        <v>0</v>
      </c>
      <c r="U3" s="7">
        <v>0</v>
      </c>
      <c r="V3" s="3"/>
    </row>
    <row r="4" spans="1:22" x14ac:dyDescent="0.25">
      <c r="A4" s="6">
        <v>44440</v>
      </c>
      <c r="B4" s="7" t="s">
        <v>20</v>
      </c>
      <c r="C4" s="7" t="s">
        <v>35</v>
      </c>
      <c r="D4" s="7" t="s">
        <v>21</v>
      </c>
      <c r="E4" s="7" t="s">
        <v>76</v>
      </c>
      <c r="F4" s="7" t="s">
        <v>22</v>
      </c>
      <c r="G4" s="7">
        <v>70000</v>
      </c>
      <c r="H4" s="7" t="s">
        <v>36</v>
      </c>
      <c r="I4" s="7" t="s">
        <v>37</v>
      </c>
      <c r="J4" s="8">
        <v>0.95486111111111116</v>
      </c>
      <c r="K4" s="9">
        <v>0.94236111111111109</v>
      </c>
      <c r="L4" s="8">
        <v>0.53819444444444442</v>
      </c>
      <c r="M4" s="9">
        <v>0.54375000000000007</v>
      </c>
      <c r="N4" s="7" t="s">
        <v>85</v>
      </c>
      <c r="O4" s="7" t="s">
        <v>80</v>
      </c>
      <c r="P4" s="7">
        <v>588</v>
      </c>
      <c r="Q4" s="7">
        <v>889</v>
      </c>
      <c r="R4" s="3">
        <v>0</v>
      </c>
      <c r="S4" s="3">
        <v>0</v>
      </c>
      <c r="T4" s="3">
        <v>0</v>
      </c>
      <c r="U4" s="3">
        <v>0</v>
      </c>
      <c r="V4" s="3"/>
    </row>
    <row r="5" spans="1:22" x14ac:dyDescent="0.25">
      <c r="A5" s="6">
        <v>44440</v>
      </c>
      <c r="B5" s="7" t="s">
        <v>20</v>
      </c>
      <c r="C5" s="7" t="s">
        <v>41</v>
      </c>
      <c r="D5" s="7" t="s">
        <v>21</v>
      </c>
      <c r="E5" s="7" t="s">
        <v>77</v>
      </c>
      <c r="F5" s="7" t="s">
        <v>22</v>
      </c>
      <c r="G5" s="7">
        <v>70000</v>
      </c>
      <c r="H5" s="7" t="s">
        <v>42</v>
      </c>
      <c r="I5" s="7" t="s">
        <v>43</v>
      </c>
      <c r="J5" s="8">
        <v>0.92013888888888884</v>
      </c>
      <c r="K5" s="9">
        <v>0.90972222222222221</v>
      </c>
      <c r="L5" s="8">
        <v>0.73958333333333337</v>
      </c>
      <c r="M5" s="9">
        <v>0.73472222222222217</v>
      </c>
      <c r="N5" s="7" t="s">
        <v>84</v>
      </c>
      <c r="O5" s="7" t="s">
        <v>83</v>
      </c>
      <c r="P5" s="7">
        <v>707</v>
      </c>
      <c r="Q5" s="7">
        <v>840</v>
      </c>
      <c r="R5" s="3">
        <v>0</v>
      </c>
      <c r="S5" s="3">
        <v>0</v>
      </c>
      <c r="T5" s="3">
        <v>0</v>
      </c>
      <c r="U5" s="3">
        <v>0</v>
      </c>
      <c r="V5" s="3"/>
    </row>
    <row r="7" spans="1:22" x14ac:dyDescent="0.25">
      <c r="L7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selection activeCell="N14" sqref="N14"/>
    </sheetView>
  </sheetViews>
  <sheetFormatPr defaultRowHeight="15" x14ac:dyDescent="0.25"/>
  <cols>
    <col min="2" max="2" width="17.140625" customWidth="1"/>
    <col min="3" max="3" width="14.42578125" customWidth="1"/>
    <col min="6" max="6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44441</v>
      </c>
      <c r="B2" s="7" t="s">
        <v>20</v>
      </c>
      <c r="C2" s="7" t="s">
        <v>26</v>
      </c>
      <c r="D2" s="7" t="s">
        <v>21</v>
      </c>
      <c r="E2" s="7" t="s">
        <v>86</v>
      </c>
      <c r="F2" s="7" t="s">
        <v>22</v>
      </c>
      <c r="G2" s="7">
        <v>70000</v>
      </c>
      <c r="H2" s="7" t="s">
        <v>27</v>
      </c>
      <c r="I2" s="7" t="s">
        <v>28</v>
      </c>
      <c r="J2" s="8">
        <v>0.40972222222222227</v>
      </c>
      <c r="K2" s="16">
        <v>0.40347222222222223</v>
      </c>
      <c r="L2" s="17">
        <v>0.25694444444444448</v>
      </c>
      <c r="M2" s="16">
        <v>0.27152777777777776</v>
      </c>
      <c r="N2" s="18" t="s">
        <v>90</v>
      </c>
      <c r="O2" s="18" t="s">
        <v>88</v>
      </c>
      <c r="P2" s="18">
        <v>581</v>
      </c>
      <c r="Q2" s="18">
        <v>1048</v>
      </c>
      <c r="R2" s="7">
        <v>0</v>
      </c>
      <c r="S2" s="7">
        <v>0</v>
      </c>
      <c r="T2" s="7">
        <v>0</v>
      </c>
      <c r="U2" s="7">
        <v>0</v>
      </c>
    </row>
    <row r="3" spans="1:21" x14ac:dyDescent="0.25">
      <c r="A3" s="6">
        <v>44441</v>
      </c>
      <c r="B3" s="7" t="s">
        <v>20</v>
      </c>
      <c r="C3" s="7" t="s">
        <v>23</v>
      </c>
      <c r="D3" s="7" t="s">
        <v>21</v>
      </c>
      <c r="E3" s="7" t="s">
        <v>77</v>
      </c>
      <c r="F3" s="7" t="s">
        <v>22</v>
      </c>
      <c r="G3" s="7">
        <v>70000</v>
      </c>
      <c r="H3" s="7" t="s">
        <v>24</v>
      </c>
      <c r="I3" s="7" t="s">
        <v>25</v>
      </c>
      <c r="J3" s="8">
        <v>0.67013888888888884</v>
      </c>
      <c r="K3" s="9">
        <v>0.65902777777777777</v>
      </c>
      <c r="L3" s="8">
        <v>0.27083333333333331</v>
      </c>
      <c r="M3" s="9">
        <v>0.27569444444444446</v>
      </c>
      <c r="N3" s="7" t="s">
        <v>95</v>
      </c>
      <c r="O3" s="7" t="s">
        <v>89</v>
      </c>
      <c r="P3" s="7">
        <v>447</v>
      </c>
      <c r="Q3" s="7">
        <v>669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>
        <v>44441</v>
      </c>
      <c r="B4" s="7" t="s">
        <v>20</v>
      </c>
      <c r="C4" s="7" t="s">
        <v>69</v>
      </c>
      <c r="D4" s="7" t="s">
        <v>21</v>
      </c>
      <c r="E4" s="7" t="s">
        <v>86</v>
      </c>
      <c r="F4" s="7" t="s">
        <v>22</v>
      </c>
      <c r="G4" s="7">
        <v>70000</v>
      </c>
      <c r="H4" s="7" t="s">
        <v>54</v>
      </c>
      <c r="I4" s="7" t="s">
        <v>55</v>
      </c>
      <c r="J4" s="8">
        <v>0.67361111111111116</v>
      </c>
      <c r="K4" s="9">
        <v>0.67708333333333337</v>
      </c>
      <c r="L4" s="8">
        <v>0.46875</v>
      </c>
      <c r="M4" s="9">
        <v>0.47916666666666669</v>
      </c>
      <c r="N4" s="7" t="s">
        <v>96</v>
      </c>
      <c r="O4" s="7" t="s">
        <v>91</v>
      </c>
      <c r="P4" s="7">
        <v>415</v>
      </c>
      <c r="Q4" s="7">
        <v>1063</v>
      </c>
      <c r="R4" s="7">
        <v>0</v>
      </c>
      <c r="S4" s="7">
        <v>0</v>
      </c>
      <c r="T4" s="7">
        <v>0</v>
      </c>
      <c r="U4" s="7">
        <v>0</v>
      </c>
    </row>
    <row r="5" spans="1:21" x14ac:dyDescent="0.25">
      <c r="A5" s="6">
        <v>44441</v>
      </c>
      <c r="B5" s="3" t="s">
        <v>87</v>
      </c>
      <c r="C5" s="3" t="s">
        <v>62</v>
      </c>
      <c r="D5" s="3" t="s">
        <v>21</v>
      </c>
      <c r="E5" s="3" t="str">
        <f>E4</f>
        <v>HA-LYL</v>
      </c>
      <c r="F5" s="3" t="s">
        <v>22</v>
      </c>
      <c r="G5" s="10">
        <v>70000</v>
      </c>
      <c r="H5" s="3" t="s">
        <v>64</v>
      </c>
      <c r="I5" s="3" t="s">
        <v>63</v>
      </c>
      <c r="J5" s="4">
        <v>0.90972222222222221</v>
      </c>
      <c r="K5" s="5">
        <v>0.91805555555555562</v>
      </c>
      <c r="L5" s="4">
        <v>0.69444444444444453</v>
      </c>
      <c r="M5" s="5">
        <v>0.70694444444444438</v>
      </c>
      <c r="N5" s="3" t="s">
        <v>94</v>
      </c>
      <c r="O5" s="3" t="s">
        <v>92</v>
      </c>
      <c r="P5" s="3">
        <v>360</v>
      </c>
      <c r="Q5" s="3">
        <v>564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>
        <v>44441</v>
      </c>
      <c r="B6" s="6" t="s">
        <v>20</v>
      </c>
      <c r="C6" s="7" t="s">
        <v>29</v>
      </c>
      <c r="D6" s="7" t="s">
        <v>21</v>
      </c>
      <c r="E6" s="7" t="s">
        <v>77</v>
      </c>
      <c r="F6" s="7" t="s">
        <v>22</v>
      </c>
      <c r="G6" s="7">
        <v>70000</v>
      </c>
      <c r="H6" s="7" t="s">
        <v>30</v>
      </c>
      <c r="I6" s="7" t="s">
        <v>31</v>
      </c>
      <c r="J6" s="8">
        <v>0.90277777777777779</v>
      </c>
      <c r="K6" s="9">
        <v>0.91249999999999998</v>
      </c>
      <c r="L6" s="8">
        <v>0.70833333333333337</v>
      </c>
      <c r="M6" s="9">
        <v>0.71319444444444446</v>
      </c>
      <c r="N6" s="7" t="s">
        <v>97</v>
      </c>
      <c r="O6" s="3" t="s">
        <v>93</v>
      </c>
      <c r="P6" s="7">
        <v>698</v>
      </c>
      <c r="Q6" s="7">
        <v>1597</v>
      </c>
      <c r="R6" s="7">
        <v>0</v>
      </c>
      <c r="S6" s="7">
        <v>0</v>
      </c>
      <c r="T6" s="7">
        <v>0</v>
      </c>
      <c r="U6" s="7">
        <v>0</v>
      </c>
    </row>
    <row r="7" spans="1:21" x14ac:dyDescent="0.25">
      <c r="A7" s="6"/>
      <c r="B7" s="7"/>
      <c r="C7" s="7"/>
      <c r="D7" s="7"/>
      <c r="E7" s="7"/>
      <c r="F7" s="7"/>
      <c r="G7" s="7"/>
      <c r="H7" s="7"/>
      <c r="I7" s="7"/>
      <c r="J7" s="4"/>
      <c r="K7" s="5"/>
      <c r="L7" s="4"/>
      <c r="M7" s="5"/>
      <c r="N7" s="3"/>
      <c r="O7" s="3"/>
      <c r="P7" s="3"/>
      <c r="Q7" s="3"/>
      <c r="R7" s="7"/>
      <c r="S7" s="7"/>
      <c r="T7" s="7"/>
      <c r="U7" s="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D1" zoomScaleNormal="100" workbookViewId="0">
      <selection sqref="A1:U6"/>
    </sheetView>
  </sheetViews>
  <sheetFormatPr defaultRowHeight="15" x14ac:dyDescent="0.25"/>
  <cols>
    <col min="1" max="1" width="10.140625" style="14" bestFit="1" customWidth="1"/>
    <col min="2" max="16384" width="9.140625" style="14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"/>
    </row>
    <row r="2" spans="1:22" x14ac:dyDescent="0.25">
      <c r="A2" s="6">
        <v>44442</v>
      </c>
      <c r="B2" s="7" t="s">
        <v>20</v>
      </c>
      <c r="C2" s="7" t="s">
        <v>32</v>
      </c>
      <c r="D2" s="7" t="s">
        <v>21</v>
      </c>
      <c r="E2" s="7" t="s">
        <v>86</v>
      </c>
      <c r="F2" s="7" t="s">
        <v>22</v>
      </c>
      <c r="G2" s="7">
        <v>70000</v>
      </c>
      <c r="H2" s="7" t="s">
        <v>33</v>
      </c>
      <c r="I2" s="7" t="s">
        <v>34</v>
      </c>
      <c r="J2" s="8">
        <v>0.45833333333333331</v>
      </c>
      <c r="K2" s="9">
        <v>0.44513888888888892</v>
      </c>
      <c r="L2" s="8">
        <v>0.25694444444444448</v>
      </c>
      <c r="M2" s="9">
        <v>0.26250000000000001</v>
      </c>
      <c r="N2" s="7" t="s">
        <v>104</v>
      </c>
      <c r="O2" s="7" t="s">
        <v>100</v>
      </c>
      <c r="P2" s="7">
        <v>535</v>
      </c>
      <c r="Q2" s="7">
        <v>693</v>
      </c>
      <c r="R2" s="3">
        <v>0</v>
      </c>
      <c r="S2" s="3">
        <v>0</v>
      </c>
      <c r="T2" s="3">
        <v>0</v>
      </c>
      <c r="U2" s="3">
        <v>0</v>
      </c>
      <c r="V2" s="3"/>
    </row>
    <row r="3" spans="1:22" x14ac:dyDescent="0.25">
      <c r="A3" s="6">
        <v>44442</v>
      </c>
      <c r="B3" s="6" t="s">
        <v>20</v>
      </c>
      <c r="C3" s="7" t="s">
        <v>49</v>
      </c>
      <c r="D3" s="7" t="s">
        <v>21</v>
      </c>
      <c r="E3" s="7" t="s">
        <v>77</v>
      </c>
      <c r="F3" s="7" t="s">
        <v>22</v>
      </c>
      <c r="G3" s="7">
        <v>70000</v>
      </c>
      <c r="H3" s="7" t="s">
        <v>50</v>
      </c>
      <c r="I3" s="7" t="s">
        <v>51</v>
      </c>
      <c r="J3" s="8">
        <v>0.4375</v>
      </c>
      <c r="K3" s="9">
        <v>0.42222222222222222</v>
      </c>
      <c r="L3" s="8">
        <v>0.27083333333333331</v>
      </c>
      <c r="M3" s="9">
        <v>0.27916666666666667</v>
      </c>
      <c r="N3" s="7" t="s">
        <v>102</v>
      </c>
      <c r="O3" s="7" t="s">
        <v>101</v>
      </c>
      <c r="P3" s="7">
        <v>549</v>
      </c>
      <c r="Q3" s="7">
        <v>979</v>
      </c>
      <c r="R3" s="7">
        <v>0</v>
      </c>
      <c r="S3" s="7">
        <v>0</v>
      </c>
      <c r="T3" s="7">
        <v>0</v>
      </c>
      <c r="U3" s="7">
        <v>0</v>
      </c>
      <c r="V3" s="3"/>
    </row>
    <row r="4" spans="1:22" x14ac:dyDescent="0.25">
      <c r="A4" s="6">
        <v>44442</v>
      </c>
      <c r="B4" s="7" t="s">
        <v>20</v>
      </c>
      <c r="C4" s="7" t="s">
        <v>35</v>
      </c>
      <c r="D4" s="7" t="s">
        <v>21</v>
      </c>
      <c r="E4" s="7" t="s">
        <v>77</v>
      </c>
      <c r="F4" s="7" t="s">
        <v>22</v>
      </c>
      <c r="G4" s="7">
        <v>70000</v>
      </c>
      <c r="H4" s="7" t="s">
        <v>36</v>
      </c>
      <c r="I4" s="7" t="s">
        <v>37</v>
      </c>
      <c r="J4" s="8">
        <v>0.91666666666666663</v>
      </c>
      <c r="K4" s="9">
        <v>0.93263888888888891</v>
      </c>
      <c r="L4" s="8">
        <v>0.46875</v>
      </c>
      <c r="M4" s="9">
        <v>0.46736111111111112</v>
      </c>
      <c r="N4" s="7" t="s">
        <v>109</v>
      </c>
      <c r="O4" s="7" t="s">
        <v>105</v>
      </c>
      <c r="P4" s="7">
        <v>827</v>
      </c>
      <c r="Q4" s="7">
        <v>1494</v>
      </c>
      <c r="R4" s="3">
        <v>0</v>
      </c>
      <c r="S4" s="3">
        <v>0</v>
      </c>
      <c r="T4" s="3">
        <v>0</v>
      </c>
      <c r="U4" s="3">
        <v>0</v>
      </c>
      <c r="V4" s="3"/>
    </row>
    <row r="5" spans="1:22" x14ac:dyDescent="0.25">
      <c r="A5" s="6">
        <v>44442</v>
      </c>
      <c r="B5" s="7" t="s">
        <v>20</v>
      </c>
      <c r="C5" s="7" t="s">
        <v>38</v>
      </c>
      <c r="D5" s="7" t="s">
        <v>21</v>
      </c>
      <c r="E5" s="7" t="s">
        <v>86</v>
      </c>
      <c r="F5" s="7" t="s">
        <v>22</v>
      </c>
      <c r="G5" s="7">
        <v>70000</v>
      </c>
      <c r="H5" s="7" t="s">
        <v>39</v>
      </c>
      <c r="I5" s="7" t="s">
        <v>40</v>
      </c>
      <c r="J5" s="8">
        <v>0.71875</v>
      </c>
      <c r="K5" s="9">
        <v>0.71180555555555547</v>
      </c>
      <c r="L5" s="8">
        <v>0.48958333333333331</v>
      </c>
      <c r="M5" s="9">
        <v>0.5</v>
      </c>
      <c r="N5" s="7" t="s">
        <v>108</v>
      </c>
      <c r="O5" s="7" t="s">
        <v>106</v>
      </c>
      <c r="P5" s="7">
        <v>639</v>
      </c>
      <c r="Q5" s="7">
        <v>1226</v>
      </c>
      <c r="R5" s="3">
        <v>0</v>
      </c>
      <c r="S5" s="3">
        <v>0</v>
      </c>
      <c r="T5" s="3">
        <v>0</v>
      </c>
      <c r="U5" s="3">
        <v>0</v>
      </c>
      <c r="V5" s="3"/>
    </row>
    <row r="6" spans="1:22" x14ac:dyDescent="0.25">
      <c r="A6" s="6">
        <v>44442</v>
      </c>
      <c r="B6" s="7" t="s">
        <v>20</v>
      </c>
      <c r="C6" s="7" t="s">
        <v>41</v>
      </c>
      <c r="D6" s="7" t="s">
        <v>21</v>
      </c>
      <c r="E6" s="7" t="s">
        <v>86</v>
      </c>
      <c r="F6" s="7" t="s">
        <v>22</v>
      </c>
      <c r="G6" s="7">
        <v>70000</v>
      </c>
      <c r="H6" s="7" t="s">
        <v>42</v>
      </c>
      <c r="I6" s="7" t="s">
        <v>43</v>
      </c>
      <c r="J6" s="4">
        <v>0.92013888888888884</v>
      </c>
      <c r="K6" s="9">
        <v>0.92013888888888884</v>
      </c>
      <c r="L6" s="4">
        <v>0.73958333333333337</v>
      </c>
      <c r="M6" s="5">
        <v>0.74930555555555556</v>
      </c>
      <c r="N6" s="3" t="s">
        <v>110</v>
      </c>
      <c r="O6" s="3" t="s">
        <v>107</v>
      </c>
      <c r="P6" s="3">
        <v>680</v>
      </c>
      <c r="Q6" s="3">
        <v>1245</v>
      </c>
      <c r="R6" s="3">
        <v>0</v>
      </c>
      <c r="S6" s="3">
        <v>0</v>
      </c>
      <c r="T6" s="3">
        <v>0</v>
      </c>
      <c r="U6" s="3">
        <v>0</v>
      </c>
      <c r="V6" s="3"/>
    </row>
    <row r="7" spans="1:22" x14ac:dyDescent="0.25">
      <c r="A7" s="6">
        <v>44442</v>
      </c>
      <c r="B7" s="7" t="s">
        <v>98</v>
      </c>
      <c r="C7" s="7" t="s">
        <v>45</v>
      </c>
      <c r="D7" s="7" t="s">
        <v>21</v>
      </c>
      <c r="E7" s="7" t="s">
        <v>46</v>
      </c>
      <c r="F7" s="7" t="s">
        <v>71</v>
      </c>
      <c r="G7" s="7">
        <v>77000</v>
      </c>
      <c r="H7" s="7" t="s">
        <v>47</v>
      </c>
      <c r="I7" s="7" t="s">
        <v>48</v>
      </c>
      <c r="J7" s="8">
        <v>0.3298611111111111</v>
      </c>
      <c r="K7" s="9">
        <v>0.32916666666666666</v>
      </c>
      <c r="L7" s="8">
        <v>0.37152777777777773</v>
      </c>
      <c r="M7" s="9">
        <v>0.38541666666666669</v>
      </c>
      <c r="N7" s="7" t="s">
        <v>99</v>
      </c>
      <c r="O7" s="7" t="s">
        <v>103</v>
      </c>
      <c r="P7" s="7">
        <v>2430</v>
      </c>
      <c r="Q7" s="7">
        <v>2182</v>
      </c>
      <c r="R7" s="7">
        <v>0</v>
      </c>
      <c r="S7" s="7">
        <v>0</v>
      </c>
      <c r="T7" s="7">
        <v>0</v>
      </c>
      <c r="U7" s="7">
        <v>0</v>
      </c>
    </row>
    <row r="8" spans="1:22" s="7" customFormat="1" ht="12.75" x14ac:dyDescent="0.25">
      <c r="A8" s="6"/>
      <c r="J8" s="9"/>
      <c r="K8" s="9"/>
      <c r="L8" s="9"/>
      <c r="M8" s="9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sqref="A1:T9"/>
    </sheetView>
  </sheetViews>
  <sheetFormatPr defaultRowHeight="15" x14ac:dyDescent="0.25"/>
  <cols>
    <col min="3" max="3" width="12.28515625" customWidth="1"/>
    <col min="6" max="6" width="17.140625" customWidth="1"/>
    <col min="9" max="9" width="9.42578125" customWidth="1"/>
    <col min="14" max="14" width="10.7109375" customWidth="1"/>
    <col min="15" max="15" width="1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x14ac:dyDescent="0.25">
      <c r="A2" s="6">
        <v>44443</v>
      </c>
      <c r="B2" s="7" t="s">
        <v>20</v>
      </c>
      <c r="C2" s="7" t="s">
        <v>66</v>
      </c>
      <c r="D2" s="7" t="s">
        <v>21</v>
      </c>
      <c r="E2" s="7" t="s">
        <v>77</v>
      </c>
      <c r="F2" s="7" t="s">
        <v>22</v>
      </c>
      <c r="G2" s="7">
        <v>70000</v>
      </c>
      <c r="H2" s="7" t="s">
        <v>67</v>
      </c>
      <c r="I2" s="7" t="s">
        <v>68</v>
      </c>
      <c r="J2" s="8">
        <v>0.375</v>
      </c>
      <c r="K2" s="9">
        <v>0.4055555555555555</v>
      </c>
      <c r="L2" s="8">
        <v>0.25694444444444448</v>
      </c>
      <c r="M2" s="9">
        <v>0.26527777777777778</v>
      </c>
      <c r="N2" s="7" t="s">
        <v>113</v>
      </c>
      <c r="O2" s="7" t="s">
        <v>111</v>
      </c>
      <c r="P2" s="7">
        <v>494</v>
      </c>
      <c r="Q2" s="7">
        <v>604</v>
      </c>
      <c r="R2" s="7">
        <v>0</v>
      </c>
      <c r="S2" s="7">
        <v>0</v>
      </c>
      <c r="T2" s="7">
        <v>0</v>
      </c>
      <c r="U2" s="7"/>
    </row>
    <row r="3" spans="1:21" x14ac:dyDescent="0.25">
      <c r="A3" s="6">
        <v>44443</v>
      </c>
      <c r="B3" s="7" t="s">
        <v>20</v>
      </c>
      <c r="C3" s="7" t="s">
        <v>70</v>
      </c>
      <c r="D3" s="7" t="s">
        <v>21</v>
      </c>
      <c r="E3" s="7" t="s">
        <v>86</v>
      </c>
      <c r="F3" s="7" t="s">
        <v>22</v>
      </c>
      <c r="G3" s="7">
        <v>70000</v>
      </c>
      <c r="H3" s="7" t="s">
        <v>52</v>
      </c>
      <c r="I3" s="7" t="s">
        <v>53</v>
      </c>
      <c r="J3" s="8">
        <v>0.4375</v>
      </c>
      <c r="K3" s="9">
        <v>0.49652777777777773</v>
      </c>
      <c r="L3" s="8">
        <v>0.2638888888888889</v>
      </c>
      <c r="M3" s="9">
        <v>0.30694444444444441</v>
      </c>
      <c r="N3" s="7" t="s">
        <v>115</v>
      </c>
      <c r="O3" s="7" t="s">
        <v>112</v>
      </c>
      <c r="P3" s="7">
        <v>1070</v>
      </c>
      <c r="Q3" s="7">
        <v>1263</v>
      </c>
      <c r="R3" s="7">
        <v>0</v>
      </c>
      <c r="S3" s="7">
        <v>0</v>
      </c>
      <c r="T3" s="7">
        <v>0</v>
      </c>
      <c r="U3" s="7"/>
    </row>
    <row r="4" spans="1:21" x14ac:dyDescent="0.25">
      <c r="A4" s="6">
        <v>44443</v>
      </c>
      <c r="B4" s="7" t="s">
        <v>20</v>
      </c>
      <c r="C4" s="7" t="s">
        <v>23</v>
      </c>
      <c r="D4" s="7" t="s">
        <v>21</v>
      </c>
      <c r="E4" s="7" t="s">
        <v>77</v>
      </c>
      <c r="F4" s="7" t="s">
        <v>22</v>
      </c>
      <c r="G4" s="7">
        <v>70000</v>
      </c>
      <c r="H4" s="7" t="s">
        <v>24</v>
      </c>
      <c r="I4" s="7" t="s">
        <v>25</v>
      </c>
      <c r="J4" s="8">
        <v>0.5625</v>
      </c>
      <c r="K4" s="9">
        <v>0.59583333333333333</v>
      </c>
      <c r="L4" s="8">
        <v>0.39583333333333331</v>
      </c>
      <c r="M4" s="9">
        <v>0.4381944444444445</v>
      </c>
      <c r="N4" s="7" t="s">
        <v>73</v>
      </c>
      <c r="O4" s="7" t="s">
        <v>114</v>
      </c>
      <c r="P4" s="7">
        <v>781</v>
      </c>
      <c r="Q4" s="7">
        <v>1086</v>
      </c>
      <c r="R4" s="7">
        <v>0</v>
      </c>
      <c r="S4" s="7">
        <v>0</v>
      </c>
      <c r="T4" s="7">
        <v>0</v>
      </c>
      <c r="U4" s="7"/>
    </row>
    <row r="5" spans="1:21" x14ac:dyDescent="0.25">
      <c r="A5" s="6">
        <v>44443</v>
      </c>
      <c r="B5" s="7" t="s">
        <v>20</v>
      </c>
      <c r="C5" s="7" t="s">
        <v>69</v>
      </c>
      <c r="D5" s="7" t="s">
        <v>21</v>
      </c>
      <c r="E5" s="7" t="s">
        <v>86</v>
      </c>
      <c r="F5" s="7" t="s">
        <v>22</v>
      </c>
      <c r="G5" s="7">
        <v>70000</v>
      </c>
      <c r="H5" s="7" t="s">
        <v>54</v>
      </c>
      <c r="I5" s="7" t="s">
        <v>55</v>
      </c>
      <c r="J5" s="8">
        <v>0.67361111111111116</v>
      </c>
      <c r="K5" s="9">
        <v>0.74375000000000002</v>
      </c>
      <c r="L5" s="8">
        <v>0.46875</v>
      </c>
      <c r="M5" s="9">
        <v>0.53611111111111109</v>
      </c>
      <c r="N5" s="7" t="s">
        <v>118</v>
      </c>
      <c r="O5" s="7" t="s">
        <v>116</v>
      </c>
      <c r="P5" s="7">
        <v>629</v>
      </c>
      <c r="Q5" s="7">
        <v>1304</v>
      </c>
      <c r="R5" s="7">
        <v>0</v>
      </c>
      <c r="S5" s="7">
        <v>0</v>
      </c>
      <c r="T5" s="7">
        <v>0</v>
      </c>
      <c r="U5" s="7"/>
    </row>
    <row r="6" spans="1:21" x14ac:dyDescent="0.25">
      <c r="A6" s="6">
        <v>44443</v>
      </c>
      <c r="B6" s="6" t="s">
        <v>20</v>
      </c>
      <c r="C6" s="7" t="s">
        <v>26</v>
      </c>
      <c r="D6" s="7" t="s">
        <v>21</v>
      </c>
      <c r="E6" s="7" t="s">
        <v>77</v>
      </c>
      <c r="F6" s="7" t="s">
        <v>22</v>
      </c>
      <c r="G6" s="7">
        <v>70000</v>
      </c>
      <c r="H6" s="7" t="s">
        <v>27</v>
      </c>
      <c r="I6" s="7" t="s">
        <v>28</v>
      </c>
      <c r="J6" s="8">
        <v>0.95486111111111116</v>
      </c>
      <c r="K6" s="9">
        <v>0.97499999999999998</v>
      </c>
      <c r="L6" s="8">
        <v>0.60069444444444442</v>
      </c>
      <c r="M6" s="9">
        <v>0.63472222222222219</v>
      </c>
      <c r="N6" s="7" t="s">
        <v>119</v>
      </c>
      <c r="O6" s="7" t="s">
        <v>60</v>
      </c>
      <c r="P6" s="7">
        <v>820</v>
      </c>
      <c r="Q6" s="7">
        <v>1225</v>
      </c>
      <c r="R6" s="7">
        <v>0</v>
      </c>
      <c r="S6" s="7">
        <v>0</v>
      </c>
      <c r="T6" s="7">
        <v>0</v>
      </c>
      <c r="U6" s="7"/>
    </row>
    <row r="7" spans="1:21" x14ac:dyDescent="0.25">
      <c r="A7" s="6">
        <v>44443</v>
      </c>
      <c r="B7" s="7" t="s">
        <v>20</v>
      </c>
      <c r="C7" s="7" t="s">
        <v>56</v>
      </c>
      <c r="D7" s="7" t="s">
        <v>21</v>
      </c>
      <c r="E7" s="7" t="s">
        <v>86</v>
      </c>
      <c r="F7" s="7" t="s">
        <v>22</v>
      </c>
      <c r="G7" s="7">
        <v>70000</v>
      </c>
      <c r="H7" s="7" t="s">
        <v>57</v>
      </c>
      <c r="I7" s="7" t="s">
        <v>58</v>
      </c>
      <c r="J7" s="8">
        <v>0.90972222222222221</v>
      </c>
      <c r="K7" s="9">
        <v>1.1111111111111112E-2</v>
      </c>
      <c r="L7" s="8">
        <v>0.69444444444444453</v>
      </c>
      <c r="M7" s="9">
        <v>0.77638888888888891</v>
      </c>
      <c r="N7" s="7" t="s">
        <v>120</v>
      </c>
      <c r="O7" s="7" t="s">
        <v>117</v>
      </c>
      <c r="P7" s="7">
        <v>611</v>
      </c>
      <c r="Q7" s="7">
        <v>1416</v>
      </c>
      <c r="R7" s="7">
        <v>0</v>
      </c>
      <c r="S7" s="7">
        <v>0</v>
      </c>
      <c r="T7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sqref="A1:XFD5"/>
    </sheetView>
  </sheetViews>
  <sheetFormatPr defaultRowHeight="15" x14ac:dyDescent="0.25"/>
  <cols>
    <col min="1" max="1" width="10.140625" bestFit="1" customWidth="1"/>
    <col min="3" max="3" width="13.7109375" bestFit="1" customWidth="1"/>
    <col min="6" max="6" width="19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6">
        <v>44444</v>
      </c>
      <c r="B2" s="7" t="s">
        <v>20</v>
      </c>
      <c r="C2" s="7" t="s">
        <v>61</v>
      </c>
      <c r="D2" s="7" t="s">
        <v>21</v>
      </c>
      <c r="E2" s="7" t="s">
        <v>86</v>
      </c>
      <c r="F2" s="7" t="s">
        <v>22</v>
      </c>
      <c r="G2" s="7">
        <v>70000</v>
      </c>
      <c r="H2" s="7" t="s">
        <v>65</v>
      </c>
      <c r="I2" s="7" t="s">
        <v>121</v>
      </c>
      <c r="J2" s="8">
        <v>0.70486111111111116</v>
      </c>
      <c r="K2" s="9">
        <v>0.68541666666666667</v>
      </c>
      <c r="L2" s="8">
        <v>0.46875</v>
      </c>
      <c r="M2" s="9">
        <v>0.46666666666666662</v>
      </c>
      <c r="N2" s="7" t="s">
        <v>127</v>
      </c>
      <c r="O2" s="7" t="s">
        <v>125</v>
      </c>
      <c r="P2" s="7">
        <v>200</v>
      </c>
      <c r="Q2" s="7">
        <v>1085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</row>
    <row r="3" spans="1:24" x14ac:dyDescent="0.25">
      <c r="A3" s="6">
        <v>44444</v>
      </c>
      <c r="B3" s="7" t="s">
        <v>20</v>
      </c>
      <c r="C3" s="7" t="s">
        <v>122</v>
      </c>
      <c r="D3" s="7" t="s">
        <v>21</v>
      </c>
      <c r="E3" s="7" t="s">
        <v>77</v>
      </c>
      <c r="F3" s="7" t="s">
        <v>22</v>
      </c>
      <c r="G3" s="7">
        <v>70000</v>
      </c>
      <c r="H3" s="7" t="s">
        <v>123</v>
      </c>
      <c r="I3" s="7" t="s">
        <v>124</v>
      </c>
      <c r="J3" s="8">
        <v>0.69097222222222221</v>
      </c>
      <c r="K3" s="9">
        <v>0.68125000000000002</v>
      </c>
      <c r="L3" s="8">
        <v>0.54166666666666663</v>
      </c>
      <c r="M3" s="9">
        <v>0.54166666666666663</v>
      </c>
      <c r="N3" s="7" t="s">
        <v>128</v>
      </c>
      <c r="O3" s="7" t="s">
        <v>126</v>
      </c>
      <c r="P3" s="7">
        <v>415</v>
      </c>
      <c r="Q3" s="7">
        <v>838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</row>
    <row r="4" spans="1:24" x14ac:dyDescent="0.25">
      <c r="A4" s="6">
        <v>44444</v>
      </c>
      <c r="B4" s="7" t="s">
        <v>20</v>
      </c>
      <c r="C4" s="7" t="s">
        <v>29</v>
      </c>
      <c r="D4" s="7" t="s">
        <v>21</v>
      </c>
      <c r="E4" s="7" t="s">
        <v>77</v>
      </c>
      <c r="F4" s="7" t="s">
        <v>22</v>
      </c>
      <c r="G4" s="7">
        <v>70000</v>
      </c>
      <c r="H4" s="7" t="s">
        <v>30</v>
      </c>
      <c r="I4" s="7" t="s">
        <v>31</v>
      </c>
      <c r="J4" s="8">
        <v>0.90625</v>
      </c>
      <c r="K4" s="9">
        <v>0.8965277777777777</v>
      </c>
      <c r="L4" s="8">
        <v>0.71527777777777779</v>
      </c>
      <c r="M4" s="9">
        <v>0.72222222222222221</v>
      </c>
      <c r="N4" s="7" t="s">
        <v>131</v>
      </c>
      <c r="O4" s="7" t="s">
        <v>129</v>
      </c>
      <c r="P4" s="7">
        <v>663</v>
      </c>
      <c r="Q4" s="7">
        <v>997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</row>
    <row r="5" spans="1:24" x14ac:dyDescent="0.25">
      <c r="A5" s="6">
        <v>44444</v>
      </c>
      <c r="B5" s="7" t="s">
        <v>20</v>
      </c>
      <c r="C5" s="7" t="s">
        <v>62</v>
      </c>
      <c r="D5" s="7" t="s">
        <v>21</v>
      </c>
      <c r="E5" s="7" t="s">
        <v>86</v>
      </c>
      <c r="F5" s="7" t="s">
        <v>22</v>
      </c>
      <c r="G5" s="7">
        <v>70000</v>
      </c>
      <c r="H5" s="7" t="s">
        <v>64</v>
      </c>
      <c r="I5" s="7" t="s">
        <v>63</v>
      </c>
      <c r="J5" s="8">
        <v>0.94097222222222221</v>
      </c>
      <c r="K5" s="9">
        <v>0.94374999999999998</v>
      </c>
      <c r="L5" s="8">
        <v>0.72569444444444453</v>
      </c>
      <c r="M5" s="9">
        <v>0.73402777777777783</v>
      </c>
      <c r="N5" s="7" t="s">
        <v>140</v>
      </c>
      <c r="O5" s="7" t="s">
        <v>130</v>
      </c>
      <c r="P5" s="7">
        <v>520</v>
      </c>
      <c r="Q5" s="7">
        <v>998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</row>
    <row r="6" spans="1:24" x14ac:dyDescent="0.25">
      <c r="A6" s="6">
        <v>44444</v>
      </c>
      <c r="B6" s="7" t="s">
        <v>132</v>
      </c>
      <c r="C6" s="3" t="s">
        <v>133</v>
      </c>
      <c r="D6" s="7" t="s">
        <v>134</v>
      </c>
      <c r="E6" s="7" t="s">
        <v>135</v>
      </c>
      <c r="F6" s="7" t="s">
        <v>136</v>
      </c>
      <c r="G6" s="7">
        <v>77000</v>
      </c>
      <c r="H6" s="9" t="s">
        <v>137</v>
      </c>
      <c r="I6" s="9" t="s">
        <v>138</v>
      </c>
      <c r="J6" s="8">
        <v>0.79861111111111116</v>
      </c>
      <c r="K6" s="9">
        <v>0.79236111111111107</v>
      </c>
      <c r="L6" s="9" t="s">
        <v>138</v>
      </c>
      <c r="M6" s="9" t="s">
        <v>138</v>
      </c>
      <c r="N6" s="3" t="s">
        <v>139</v>
      </c>
      <c r="O6" s="7" t="s">
        <v>138</v>
      </c>
      <c r="P6" s="3">
        <v>1261</v>
      </c>
      <c r="Q6" s="3" t="s">
        <v>138</v>
      </c>
      <c r="R6" s="3">
        <v>0</v>
      </c>
      <c r="S6" s="3" t="s">
        <v>138</v>
      </c>
      <c r="T6" s="3">
        <v>0</v>
      </c>
      <c r="U6" s="3" t="s">
        <v>138</v>
      </c>
    </row>
    <row r="7" spans="1:24" x14ac:dyDescent="0.25">
      <c r="A7" s="6"/>
      <c r="B7" s="7"/>
      <c r="C7" s="7"/>
      <c r="D7" s="7"/>
      <c r="E7" s="7"/>
      <c r="F7" s="7"/>
      <c r="G7" s="7"/>
      <c r="H7" s="7"/>
      <c r="I7" s="7"/>
      <c r="J7" s="9"/>
      <c r="K7" s="9"/>
      <c r="L7" s="7"/>
      <c r="M7" s="3"/>
      <c r="N7" s="3"/>
      <c r="O7" s="3"/>
      <c r="P7" s="3"/>
      <c r="Q7" s="7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6"/>
    </sheetView>
  </sheetViews>
  <sheetFormatPr defaultRowHeight="15" x14ac:dyDescent="0.25"/>
  <cols>
    <col min="1" max="1" width="10.140625" bestFit="1" customWidth="1"/>
    <col min="3" max="3" width="13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 t="s">
        <v>141</v>
      </c>
      <c r="B2" s="7" t="s">
        <v>20</v>
      </c>
      <c r="C2" s="7" t="s">
        <v>49</v>
      </c>
      <c r="D2" s="7" t="s">
        <v>21</v>
      </c>
      <c r="E2" s="7" t="s">
        <v>75</v>
      </c>
      <c r="F2" s="7" t="s">
        <v>22</v>
      </c>
      <c r="G2" s="7">
        <v>70000</v>
      </c>
      <c r="H2" s="7" t="s">
        <v>50</v>
      </c>
      <c r="I2" s="7" t="s">
        <v>51</v>
      </c>
      <c r="J2" s="8">
        <v>0.4236111111111111</v>
      </c>
      <c r="K2" s="9">
        <v>0.41111111111111115</v>
      </c>
      <c r="L2" s="8">
        <v>0.25694444444444448</v>
      </c>
      <c r="M2" s="9">
        <v>0.26111111111111113</v>
      </c>
      <c r="N2" s="7" t="s">
        <v>142</v>
      </c>
      <c r="O2" s="7" t="s">
        <v>144</v>
      </c>
      <c r="P2" s="7">
        <v>406</v>
      </c>
      <c r="Q2" s="7">
        <v>772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6" t="s">
        <v>141</v>
      </c>
      <c r="B3" s="6" t="s">
        <v>20</v>
      </c>
      <c r="C3" s="7" t="s">
        <v>32</v>
      </c>
      <c r="D3" s="7" t="s">
        <v>21</v>
      </c>
      <c r="E3" s="7" t="s">
        <v>76</v>
      </c>
      <c r="F3" s="7" t="s">
        <v>22</v>
      </c>
      <c r="G3" s="7">
        <v>70000</v>
      </c>
      <c r="H3" s="7" t="s">
        <v>33</v>
      </c>
      <c r="I3" s="7" t="s">
        <v>34</v>
      </c>
      <c r="J3" s="8">
        <v>0.46180555555555558</v>
      </c>
      <c r="K3" s="9">
        <v>0.45</v>
      </c>
      <c r="L3" s="8">
        <v>0.26041666666666669</v>
      </c>
      <c r="M3" s="9">
        <v>0.26874999999999999</v>
      </c>
      <c r="N3" s="7" t="s">
        <v>143</v>
      </c>
      <c r="O3" s="7" t="s">
        <v>145</v>
      </c>
      <c r="P3" s="7">
        <v>267</v>
      </c>
      <c r="Q3" s="7">
        <v>859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 t="s">
        <v>141</v>
      </c>
      <c r="B4" s="7" t="s">
        <v>20</v>
      </c>
      <c r="C4" s="7" t="s">
        <v>35</v>
      </c>
      <c r="D4" s="7" t="s">
        <v>21</v>
      </c>
      <c r="E4" s="7" t="s">
        <v>75</v>
      </c>
      <c r="F4" s="7" t="s">
        <v>22</v>
      </c>
      <c r="G4" s="7">
        <v>70000</v>
      </c>
      <c r="H4" s="7" t="s">
        <v>36</v>
      </c>
      <c r="I4" s="7" t="s">
        <v>37</v>
      </c>
      <c r="J4" s="8">
        <v>0.91319444444444453</v>
      </c>
      <c r="K4" s="9">
        <v>0.90902777777777777</v>
      </c>
      <c r="L4" s="8">
        <v>0.4548611111111111</v>
      </c>
      <c r="M4" s="9">
        <v>0.45277777777777778</v>
      </c>
      <c r="N4" s="7" t="s">
        <v>148</v>
      </c>
      <c r="O4" s="7" t="s">
        <v>91</v>
      </c>
      <c r="P4" s="7">
        <v>1060</v>
      </c>
      <c r="Q4" s="7">
        <v>865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 t="s">
        <v>141</v>
      </c>
      <c r="B5" s="7" t="s">
        <v>20</v>
      </c>
      <c r="C5" s="7" t="s">
        <v>38</v>
      </c>
      <c r="D5" s="7" t="s">
        <v>21</v>
      </c>
      <c r="E5" s="7" t="s">
        <v>76</v>
      </c>
      <c r="F5" s="7" t="s">
        <v>22</v>
      </c>
      <c r="G5" s="7">
        <v>70000</v>
      </c>
      <c r="H5" s="7" t="s">
        <v>39</v>
      </c>
      <c r="I5" s="7" t="s">
        <v>40</v>
      </c>
      <c r="J5" s="8">
        <v>0.68055555555555547</v>
      </c>
      <c r="K5" s="9">
        <v>0.71319444444444446</v>
      </c>
      <c r="L5" s="8">
        <v>0.49305555555555558</v>
      </c>
      <c r="M5" s="9">
        <v>0.48680555555555555</v>
      </c>
      <c r="N5" s="7" t="s">
        <v>79</v>
      </c>
      <c r="O5" s="7" t="s">
        <v>146</v>
      </c>
      <c r="P5" s="7">
        <v>184</v>
      </c>
      <c r="Q5" s="7">
        <v>547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 t="s">
        <v>141</v>
      </c>
      <c r="B6" s="7" t="s">
        <v>20</v>
      </c>
      <c r="C6" s="7" t="s">
        <v>41</v>
      </c>
      <c r="D6" s="7" t="s">
        <v>21</v>
      </c>
      <c r="E6" s="7" t="s">
        <v>76</v>
      </c>
      <c r="F6" s="7" t="s">
        <v>22</v>
      </c>
      <c r="G6" s="7">
        <v>70000</v>
      </c>
      <c r="H6" s="7" t="s">
        <v>42</v>
      </c>
      <c r="I6" s="7" t="s">
        <v>43</v>
      </c>
      <c r="J6" s="4">
        <v>0.92361111111111116</v>
      </c>
      <c r="K6" s="9">
        <v>0.92569444444444438</v>
      </c>
      <c r="L6" s="4">
        <v>0.74305555555555547</v>
      </c>
      <c r="M6" s="5">
        <v>0.74583333333333324</v>
      </c>
      <c r="N6" s="7" t="s">
        <v>149</v>
      </c>
      <c r="O6" s="7" t="s">
        <v>147</v>
      </c>
      <c r="P6" s="7">
        <v>764</v>
      </c>
      <c r="Q6" s="3">
        <v>904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6"/>
      <c r="B7" s="7"/>
      <c r="C7" s="7"/>
      <c r="D7" s="7"/>
      <c r="E7" s="7"/>
      <c r="F7" s="7"/>
      <c r="G7" s="7"/>
      <c r="H7" s="7"/>
      <c r="I7" s="7"/>
      <c r="J7" s="9"/>
      <c r="K7" s="9"/>
      <c r="L7" s="9"/>
      <c r="M7" s="9"/>
      <c r="N7" s="7"/>
      <c r="O7" s="12"/>
      <c r="P7" s="7"/>
      <c r="Q7" s="7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5"/>
      <c r="K8" s="5"/>
      <c r="L8" s="5"/>
      <c r="M8" s="9"/>
      <c r="N8" s="7"/>
      <c r="O8" s="7"/>
      <c r="R8" s="11"/>
      <c r="S8" s="11"/>
      <c r="T8" s="11"/>
      <c r="U8" s="11"/>
    </row>
    <row r="9" spans="1:2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2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A2" sqref="A2:XFD6"/>
    </sheetView>
  </sheetViews>
  <sheetFormatPr defaultRowHeight="15" x14ac:dyDescent="0.25"/>
  <cols>
    <col min="2" max="2" width="15.85546875" customWidth="1"/>
    <col min="3" max="3" width="16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x14ac:dyDescent="0.25">
      <c r="A2" s="6">
        <v>44446</v>
      </c>
      <c r="B2" s="7" t="s">
        <v>20</v>
      </c>
      <c r="C2" s="7" t="s">
        <v>70</v>
      </c>
      <c r="D2" s="7" t="s">
        <v>21</v>
      </c>
      <c r="E2" s="7" t="s">
        <v>77</v>
      </c>
      <c r="F2" s="7" t="s">
        <v>22</v>
      </c>
      <c r="G2" s="7">
        <v>70000</v>
      </c>
      <c r="H2" s="7" t="s">
        <v>52</v>
      </c>
      <c r="I2" s="7" t="s">
        <v>53</v>
      </c>
      <c r="J2" s="8">
        <v>0.4513888888888889</v>
      </c>
      <c r="K2" s="9">
        <v>0.45</v>
      </c>
      <c r="L2" s="8">
        <v>0.27777777777777779</v>
      </c>
      <c r="M2" s="9">
        <v>0.27638888888888885</v>
      </c>
      <c r="N2" s="7" t="s">
        <v>156</v>
      </c>
      <c r="O2" s="7" t="s">
        <v>151</v>
      </c>
      <c r="P2" s="7">
        <v>687</v>
      </c>
      <c r="Q2" s="7">
        <v>921</v>
      </c>
      <c r="R2" s="7">
        <v>0</v>
      </c>
      <c r="S2" s="7">
        <v>0</v>
      </c>
      <c r="T2" s="7">
        <v>0</v>
      </c>
      <c r="U2" s="7">
        <v>0</v>
      </c>
    </row>
    <row r="3" spans="1:22" x14ac:dyDescent="0.25">
      <c r="A3" s="6">
        <v>44446</v>
      </c>
      <c r="B3" s="7" t="s">
        <v>20</v>
      </c>
      <c r="C3" s="7" t="s">
        <v>23</v>
      </c>
      <c r="D3" s="7" t="s">
        <v>21</v>
      </c>
      <c r="E3" s="7" t="s">
        <v>86</v>
      </c>
      <c r="F3" s="7" t="s">
        <v>22</v>
      </c>
      <c r="G3" s="7">
        <v>70000</v>
      </c>
      <c r="H3" s="7" t="s">
        <v>24</v>
      </c>
      <c r="I3" s="7" t="s">
        <v>25</v>
      </c>
      <c r="J3" s="8">
        <v>0.5625</v>
      </c>
      <c r="K3" s="9">
        <v>0.56597222222222221</v>
      </c>
      <c r="L3" s="8">
        <v>0.39583333333333331</v>
      </c>
      <c r="M3" s="9">
        <v>0.40277777777777773</v>
      </c>
      <c r="N3" s="7" t="s">
        <v>157</v>
      </c>
      <c r="O3" s="7" t="s">
        <v>152</v>
      </c>
      <c r="P3" s="7">
        <v>395</v>
      </c>
      <c r="Q3" s="7">
        <v>685</v>
      </c>
      <c r="R3" s="7">
        <v>0</v>
      </c>
      <c r="S3" s="7">
        <v>0</v>
      </c>
      <c r="T3" s="7">
        <v>0</v>
      </c>
      <c r="U3" s="7">
        <v>0</v>
      </c>
    </row>
    <row r="4" spans="1:22" x14ac:dyDescent="0.25">
      <c r="A4" s="6">
        <v>44446</v>
      </c>
      <c r="B4" s="7" t="s">
        <v>20</v>
      </c>
      <c r="C4" s="7" t="s">
        <v>69</v>
      </c>
      <c r="D4" s="7" t="s">
        <v>21</v>
      </c>
      <c r="E4" s="7" t="s">
        <v>77</v>
      </c>
      <c r="F4" s="7" t="s">
        <v>22</v>
      </c>
      <c r="G4" s="7">
        <v>70000</v>
      </c>
      <c r="H4" s="7" t="s">
        <v>54</v>
      </c>
      <c r="I4" s="7" t="s">
        <v>55</v>
      </c>
      <c r="J4" s="8">
        <v>0.6875</v>
      </c>
      <c r="K4" s="9">
        <v>0.6875</v>
      </c>
      <c r="L4" s="8">
        <v>0.4826388888888889</v>
      </c>
      <c r="M4" s="9">
        <v>0.48472222222222222</v>
      </c>
      <c r="N4" s="7" t="s">
        <v>166</v>
      </c>
      <c r="O4" s="7" t="s">
        <v>155</v>
      </c>
      <c r="P4" s="7">
        <v>303</v>
      </c>
      <c r="Q4" s="7">
        <v>777</v>
      </c>
      <c r="R4" s="7">
        <v>0</v>
      </c>
      <c r="S4" s="7">
        <v>0</v>
      </c>
      <c r="T4" s="7">
        <v>0</v>
      </c>
      <c r="U4" s="7">
        <v>0</v>
      </c>
    </row>
    <row r="5" spans="1:22" x14ac:dyDescent="0.25">
      <c r="A5" s="6">
        <v>44446</v>
      </c>
      <c r="B5" s="6" t="s">
        <v>20</v>
      </c>
      <c r="C5" s="7" t="s">
        <v>26</v>
      </c>
      <c r="D5" s="7" t="s">
        <v>21</v>
      </c>
      <c r="E5" s="7" t="s">
        <v>86</v>
      </c>
      <c r="F5" s="7" t="s">
        <v>22</v>
      </c>
      <c r="G5" s="7">
        <v>70000</v>
      </c>
      <c r="H5" s="7" t="s">
        <v>27</v>
      </c>
      <c r="I5" s="7" t="s">
        <v>28</v>
      </c>
      <c r="J5" s="8">
        <v>0.95486111111111116</v>
      </c>
      <c r="K5" s="9">
        <v>0.96805555555555556</v>
      </c>
      <c r="L5" s="8">
        <v>0.60069444444444442</v>
      </c>
      <c r="M5" s="9">
        <v>0.60555555555555551</v>
      </c>
      <c r="N5" s="7" t="s">
        <v>167</v>
      </c>
      <c r="O5" s="7" t="s">
        <v>165</v>
      </c>
      <c r="P5" s="7">
        <v>620</v>
      </c>
      <c r="Q5" s="7">
        <v>895</v>
      </c>
      <c r="R5" s="7">
        <v>0</v>
      </c>
      <c r="S5" s="7">
        <v>0</v>
      </c>
      <c r="T5" s="7">
        <v>0</v>
      </c>
      <c r="U5" s="7">
        <v>0</v>
      </c>
    </row>
    <row r="6" spans="1:22" x14ac:dyDescent="0.25">
      <c r="A6" s="6">
        <v>44446</v>
      </c>
      <c r="B6" s="7" t="s">
        <v>44</v>
      </c>
      <c r="C6" s="7" t="s">
        <v>45</v>
      </c>
      <c r="D6" s="7" t="s">
        <v>21</v>
      </c>
      <c r="E6" s="7" t="s">
        <v>150</v>
      </c>
      <c r="F6" s="7" t="s">
        <v>71</v>
      </c>
      <c r="G6" s="7">
        <v>77000</v>
      </c>
      <c r="H6" s="7" t="s">
        <v>47</v>
      </c>
      <c r="I6" s="7" t="s">
        <v>48</v>
      </c>
      <c r="J6" s="8">
        <v>0.3298611111111111</v>
      </c>
      <c r="K6" s="9">
        <v>0.31736111111111115</v>
      </c>
      <c r="L6" s="8">
        <v>0.37152777777777773</v>
      </c>
      <c r="M6" s="9">
        <v>0.36736111111111108</v>
      </c>
      <c r="N6" s="7" t="s">
        <v>154</v>
      </c>
      <c r="O6" s="7" t="s">
        <v>153</v>
      </c>
      <c r="P6" s="7">
        <v>2613</v>
      </c>
      <c r="Q6" s="7">
        <v>2038</v>
      </c>
      <c r="R6" s="7">
        <v>0</v>
      </c>
      <c r="S6" s="7">
        <v>0</v>
      </c>
      <c r="T6" s="7">
        <v>0</v>
      </c>
      <c r="U6" s="7">
        <v>0</v>
      </c>
      <c r="V6" s="14"/>
    </row>
    <row r="7" spans="1:22" x14ac:dyDescent="0.25">
      <c r="A7" s="6">
        <v>44446</v>
      </c>
      <c r="B7" s="20" t="s">
        <v>158</v>
      </c>
      <c r="C7" s="19" t="s">
        <v>164</v>
      </c>
      <c r="D7" s="7" t="s">
        <v>159</v>
      </c>
      <c r="E7" s="7" t="s">
        <v>160</v>
      </c>
      <c r="F7" s="7" t="s">
        <v>161</v>
      </c>
      <c r="G7" s="7">
        <v>5000</v>
      </c>
      <c r="H7" s="7" t="s">
        <v>162</v>
      </c>
      <c r="I7" s="7" t="s">
        <v>162</v>
      </c>
      <c r="J7" s="8">
        <v>0.41666666666666669</v>
      </c>
      <c r="K7" s="9">
        <v>0.42222222222222222</v>
      </c>
      <c r="L7" s="8" t="s">
        <v>163</v>
      </c>
      <c r="M7" s="9"/>
      <c r="N7" s="7">
        <v>5</v>
      </c>
      <c r="O7" s="7">
        <v>4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activeCell="A2" sqref="A2"/>
    </sheetView>
  </sheetViews>
  <sheetFormatPr defaultRowHeight="15" x14ac:dyDescent="0.25"/>
  <cols>
    <col min="1" max="1" width="8.42578125" customWidth="1"/>
    <col min="2" max="2" width="10.85546875" customWidth="1"/>
    <col min="3" max="3" width="13.5703125" customWidth="1"/>
    <col min="5" max="5" width="12.5703125" bestFit="1" customWidth="1"/>
    <col min="6" max="6" width="12.140625" bestFit="1" customWidth="1"/>
    <col min="10" max="10" width="8.28515625" customWidth="1"/>
    <col min="11" max="11" width="10.85546875" bestFit="1" customWidth="1"/>
    <col min="12" max="12" width="9" customWidth="1"/>
    <col min="13" max="13" width="9.140625" customWidth="1"/>
    <col min="15" max="15" width="8.7109375" customWidth="1"/>
    <col min="16" max="16" width="8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ht="15" customHeight="1" x14ac:dyDescent="0.25">
      <c r="A2" s="6">
        <v>44447</v>
      </c>
      <c r="B2" s="7" t="s">
        <v>132</v>
      </c>
      <c r="C2" s="3" t="s">
        <v>168</v>
      </c>
      <c r="D2" s="7" t="s">
        <v>173</v>
      </c>
      <c r="E2" s="7" t="s">
        <v>135</v>
      </c>
      <c r="F2" s="7" t="s">
        <v>136</v>
      </c>
      <c r="G2" s="7">
        <v>77000</v>
      </c>
      <c r="H2" s="9" t="s">
        <v>169</v>
      </c>
      <c r="I2" s="9" t="s">
        <v>170</v>
      </c>
      <c r="J2" s="8" t="s">
        <v>171</v>
      </c>
      <c r="K2" s="9" t="s">
        <v>171</v>
      </c>
      <c r="L2" s="9">
        <v>0.10416666666666667</v>
      </c>
      <c r="M2" s="9">
        <v>0.13541666666666666</v>
      </c>
      <c r="N2" s="3" t="s">
        <v>138</v>
      </c>
      <c r="O2" s="7">
        <v>41</v>
      </c>
      <c r="P2" s="3" t="s">
        <v>138</v>
      </c>
      <c r="Q2" s="3">
        <v>1279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6">
        <v>44447</v>
      </c>
      <c r="B3" s="7" t="s">
        <v>172</v>
      </c>
      <c r="C3" s="7" t="s">
        <v>61</v>
      </c>
      <c r="D3" s="7" t="s">
        <v>21</v>
      </c>
      <c r="E3" s="7" t="s">
        <v>77</v>
      </c>
      <c r="F3" s="7" t="s">
        <v>22</v>
      </c>
      <c r="G3" s="7">
        <v>70000</v>
      </c>
      <c r="H3" s="7" t="s">
        <v>65</v>
      </c>
      <c r="I3" s="7" t="s">
        <v>121</v>
      </c>
      <c r="J3" s="8">
        <v>0.48958333333333331</v>
      </c>
      <c r="K3" s="9">
        <v>0.47083333333333338</v>
      </c>
      <c r="L3" s="8">
        <v>0.25694444444444448</v>
      </c>
      <c r="M3" s="5">
        <v>0.25625000000000003</v>
      </c>
      <c r="N3" s="7" t="s">
        <v>177</v>
      </c>
      <c r="O3" s="7" t="s">
        <v>175</v>
      </c>
      <c r="P3" s="7">
        <v>189</v>
      </c>
      <c r="Q3" s="7">
        <v>509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x14ac:dyDescent="0.25">
      <c r="A4" s="6">
        <v>44447</v>
      </c>
      <c r="B4" s="7" t="s">
        <v>172</v>
      </c>
      <c r="C4" s="7" t="s">
        <v>35</v>
      </c>
      <c r="D4" s="7" t="s">
        <v>21</v>
      </c>
      <c r="E4" s="7" t="s">
        <v>174</v>
      </c>
      <c r="F4" s="7" t="s">
        <v>22</v>
      </c>
      <c r="G4" s="7">
        <v>70000</v>
      </c>
      <c r="H4" s="7" t="s">
        <v>36</v>
      </c>
      <c r="I4" s="7" t="s">
        <v>37</v>
      </c>
      <c r="J4" s="8">
        <v>0.72916666666666663</v>
      </c>
      <c r="K4" s="9">
        <v>0.74375000000000002</v>
      </c>
      <c r="L4" s="8">
        <v>0.2986111111111111</v>
      </c>
      <c r="M4" s="5">
        <v>0.30763888888888891</v>
      </c>
      <c r="N4" s="7" t="s">
        <v>184</v>
      </c>
      <c r="O4" s="3" t="s">
        <v>176</v>
      </c>
      <c r="P4" s="3">
        <v>476</v>
      </c>
      <c r="Q4" s="3">
        <v>1051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ht="13.5" customHeight="1" x14ac:dyDescent="0.25">
      <c r="A5" s="6">
        <v>44447</v>
      </c>
      <c r="B5" s="7" t="s">
        <v>172</v>
      </c>
      <c r="C5" s="7" t="s">
        <v>32</v>
      </c>
      <c r="D5" s="7" t="s">
        <v>21</v>
      </c>
      <c r="E5" s="7" t="s">
        <v>77</v>
      </c>
      <c r="F5" s="7" t="s">
        <v>22</v>
      </c>
      <c r="G5" s="7">
        <v>70000</v>
      </c>
      <c r="H5" s="7" t="s">
        <v>33</v>
      </c>
      <c r="I5" s="7" t="s">
        <v>34</v>
      </c>
      <c r="J5" s="4">
        <v>0.71875</v>
      </c>
      <c r="K5" s="5">
        <v>0.71111111111111114</v>
      </c>
      <c r="L5" s="4">
        <v>0.51736111111111105</v>
      </c>
      <c r="M5" s="5">
        <v>0.53125</v>
      </c>
      <c r="N5" s="3" t="s">
        <v>185</v>
      </c>
      <c r="O5" s="3" t="s">
        <v>178</v>
      </c>
      <c r="P5" s="3">
        <v>178</v>
      </c>
      <c r="Q5" s="3">
        <v>700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s="3" customFormat="1" ht="15" customHeight="1" x14ac:dyDescent="0.2">
      <c r="A6" s="6">
        <v>44447</v>
      </c>
      <c r="B6" s="7" t="s">
        <v>172</v>
      </c>
      <c r="C6" s="7" t="s">
        <v>41</v>
      </c>
      <c r="D6" s="7" t="s">
        <v>21</v>
      </c>
      <c r="E6" s="7" t="s">
        <v>77</v>
      </c>
      <c r="F6" s="7" t="s">
        <v>22</v>
      </c>
      <c r="G6" s="7">
        <v>70000</v>
      </c>
      <c r="H6" s="7" t="s">
        <v>42</v>
      </c>
      <c r="I6" s="7" t="s">
        <v>43</v>
      </c>
      <c r="J6" s="4">
        <v>0.92013888888888884</v>
      </c>
      <c r="K6" s="5">
        <v>0.91319444444444453</v>
      </c>
      <c r="L6" s="4">
        <v>0.73958333333333337</v>
      </c>
      <c r="M6" s="5">
        <v>0.74652777777777779</v>
      </c>
      <c r="N6" s="3" t="s">
        <v>187</v>
      </c>
      <c r="O6" s="3" t="s">
        <v>186</v>
      </c>
      <c r="P6" s="3">
        <v>276</v>
      </c>
      <c r="Q6" s="3">
        <v>1122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s="3" customFormat="1" ht="12.75" x14ac:dyDescent="0.2">
      <c r="A7" s="6">
        <v>44447</v>
      </c>
      <c r="B7" s="7" t="s">
        <v>179</v>
      </c>
      <c r="C7" s="7" t="s">
        <v>180</v>
      </c>
      <c r="D7" s="7" t="s">
        <v>181</v>
      </c>
      <c r="E7" s="7" t="s">
        <v>182</v>
      </c>
      <c r="F7" s="7" t="s">
        <v>183</v>
      </c>
      <c r="G7" s="10">
        <v>2500</v>
      </c>
      <c r="H7" s="3" t="str">
        <f>E7</f>
        <v>D-HAIF</v>
      </c>
      <c r="I7" s="3" t="str">
        <f>H7</f>
        <v>D-HAIF</v>
      </c>
      <c r="J7" s="4">
        <v>0.47222222222222227</v>
      </c>
      <c r="K7" s="5">
        <v>0.51041666666666663</v>
      </c>
      <c r="L7" s="4">
        <v>0.49305555555555558</v>
      </c>
      <c r="M7" s="5">
        <v>0.53472222222222221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zoomScaleNormal="100" workbookViewId="0">
      <selection activeCell="K11" sqref="K11"/>
    </sheetView>
  </sheetViews>
  <sheetFormatPr defaultRowHeight="15" x14ac:dyDescent="0.25"/>
  <cols>
    <col min="2" max="2" width="17.140625" customWidth="1"/>
    <col min="3" max="3" width="14.42578125" customWidth="1"/>
    <col min="6" max="6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44448</v>
      </c>
      <c r="B2" s="7" t="s">
        <v>20</v>
      </c>
      <c r="C2" s="7" t="s">
        <v>26</v>
      </c>
      <c r="D2" s="7" t="s">
        <v>21</v>
      </c>
      <c r="E2" s="7" t="s">
        <v>77</v>
      </c>
      <c r="F2" s="7" t="s">
        <v>22</v>
      </c>
      <c r="G2" s="7">
        <v>70000</v>
      </c>
      <c r="H2" s="7" t="s">
        <v>27</v>
      </c>
      <c r="I2" s="7" t="s">
        <v>28</v>
      </c>
      <c r="J2" s="8">
        <v>0.40972222222222227</v>
      </c>
      <c r="K2" s="16">
        <v>0.3972222222222222</v>
      </c>
      <c r="L2" s="17">
        <v>0.25694444444444448</v>
      </c>
      <c r="M2" s="16">
        <v>0.26041666666666669</v>
      </c>
      <c r="N2" s="18" t="s">
        <v>190</v>
      </c>
      <c r="O2" s="18" t="s">
        <v>188</v>
      </c>
      <c r="P2" s="18">
        <v>422</v>
      </c>
      <c r="Q2" s="18">
        <v>651</v>
      </c>
      <c r="R2" s="7">
        <v>0</v>
      </c>
      <c r="S2" s="7">
        <v>0</v>
      </c>
      <c r="T2" s="7">
        <v>0</v>
      </c>
      <c r="U2" s="7">
        <v>0</v>
      </c>
    </row>
    <row r="3" spans="1:21" x14ac:dyDescent="0.25">
      <c r="A3" s="6">
        <v>44448</v>
      </c>
      <c r="B3" s="7" t="s">
        <v>20</v>
      </c>
      <c r="C3" s="7" t="s">
        <v>23</v>
      </c>
      <c r="D3" s="7" t="s">
        <v>21</v>
      </c>
      <c r="E3" s="7" t="s">
        <v>86</v>
      </c>
      <c r="F3" s="7" t="s">
        <v>22</v>
      </c>
      <c r="G3" s="7">
        <v>70000</v>
      </c>
      <c r="H3" s="7" t="s">
        <v>24</v>
      </c>
      <c r="I3" s="7" t="s">
        <v>25</v>
      </c>
      <c r="J3" s="8">
        <v>0.67013888888888884</v>
      </c>
      <c r="K3" s="9">
        <v>0.66597222222222219</v>
      </c>
      <c r="L3" s="8">
        <v>0.27083333333333331</v>
      </c>
      <c r="M3" s="9">
        <v>0.28125</v>
      </c>
      <c r="N3" s="7" t="s">
        <v>192</v>
      </c>
      <c r="O3" s="7" t="s">
        <v>189</v>
      </c>
      <c r="P3" s="7">
        <v>484</v>
      </c>
      <c r="Q3" s="7">
        <v>590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>
        <v>44448</v>
      </c>
      <c r="B4" s="7" t="s">
        <v>20</v>
      </c>
      <c r="C4" s="7" t="s">
        <v>69</v>
      </c>
      <c r="D4" s="7" t="s">
        <v>21</v>
      </c>
      <c r="E4" s="7" t="s">
        <v>77</v>
      </c>
      <c r="F4" s="7" t="s">
        <v>22</v>
      </c>
      <c r="G4" s="7">
        <v>70000</v>
      </c>
      <c r="H4" s="7" t="s">
        <v>54</v>
      </c>
      <c r="I4" s="7" t="s">
        <v>55</v>
      </c>
      <c r="J4" s="8">
        <v>0.67361111111111116</v>
      </c>
      <c r="K4" s="9">
        <v>0.66875000000000007</v>
      </c>
      <c r="L4" s="8">
        <v>0.46875</v>
      </c>
      <c r="M4" s="9">
        <v>0.47152777777777777</v>
      </c>
      <c r="N4" s="7" t="s">
        <v>193</v>
      </c>
      <c r="O4" s="7" t="s">
        <v>191</v>
      </c>
      <c r="P4" s="7">
        <v>154</v>
      </c>
      <c r="Q4" s="7">
        <v>436</v>
      </c>
      <c r="R4" s="7">
        <v>0</v>
      </c>
      <c r="S4" s="7">
        <v>0</v>
      </c>
      <c r="T4" s="7">
        <v>0</v>
      </c>
      <c r="U4" s="7">
        <v>0</v>
      </c>
    </row>
    <row r="5" spans="1:21" x14ac:dyDescent="0.25">
      <c r="A5" s="6">
        <v>44448</v>
      </c>
      <c r="B5" s="3" t="s">
        <v>87</v>
      </c>
      <c r="C5" s="3" t="s">
        <v>62</v>
      </c>
      <c r="D5" s="3" t="s">
        <v>21</v>
      </c>
      <c r="E5" s="3" t="str">
        <f>E4</f>
        <v>HA-LWP</v>
      </c>
      <c r="F5" s="3" t="s">
        <v>22</v>
      </c>
      <c r="G5" s="10">
        <v>70000</v>
      </c>
      <c r="H5" s="3" t="s">
        <v>64</v>
      </c>
      <c r="I5" s="3" t="s">
        <v>63</v>
      </c>
      <c r="J5" s="4">
        <v>0.90972222222222221</v>
      </c>
      <c r="K5" s="5">
        <v>0.91875000000000007</v>
      </c>
      <c r="L5" s="4">
        <v>0.69444444444444453</v>
      </c>
      <c r="M5" s="5">
        <v>0.70000000000000007</v>
      </c>
      <c r="N5" s="3" t="s">
        <v>195</v>
      </c>
      <c r="O5" s="3" t="s">
        <v>155</v>
      </c>
      <c r="P5" s="3">
        <v>487</v>
      </c>
      <c r="Q5" s="3">
        <v>841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>
        <v>44448</v>
      </c>
      <c r="B6" s="6" t="s">
        <v>20</v>
      </c>
      <c r="C6" s="7" t="s">
        <v>29</v>
      </c>
      <c r="D6" s="7" t="s">
        <v>21</v>
      </c>
      <c r="E6" s="7" t="s">
        <v>86</v>
      </c>
      <c r="F6" s="7" t="s">
        <v>22</v>
      </c>
      <c r="G6" s="7">
        <v>70000</v>
      </c>
      <c r="H6" s="7" t="s">
        <v>30</v>
      </c>
      <c r="I6" s="7" t="s">
        <v>31</v>
      </c>
      <c r="J6" s="8">
        <v>0.90277777777777779</v>
      </c>
      <c r="K6" s="9">
        <v>0.89930555555555547</v>
      </c>
      <c r="L6" s="8">
        <v>0.70833333333333337</v>
      </c>
      <c r="M6" s="9">
        <v>0.71250000000000002</v>
      </c>
      <c r="N6" s="7" t="s">
        <v>196</v>
      </c>
      <c r="O6" s="3" t="s">
        <v>194</v>
      </c>
      <c r="P6" s="7">
        <v>446</v>
      </c>
      <c r="Q6" s="7">
        <v>984</v>
      </c>
      <c r="R6" s="7">
        <v>0</v>
      </c>
      <c r="S6" s="7">
        <v>0</v>
      </c>
      <c r="T6" s="7">
        <v>0</v>
      </c>
      <c r="U6" s="7">
        <v>0</v>
      </c>
    </row>
    <row r="7" spans="1:21" x14ac:dyDescent="0.25">
      <c r="A7" s="6"/>
      <c r="B7" s="7"/>
      <c r="C7" s="7"/>
      <c r="D7" s="7"/>
      <c r="E7" s="7"/>
      <c r="F7" s="7"/>
      <c r="G7" s="7"/>
      <c r="H7" s="7"/>
      <c r="I7" s="7"/>
      <c r="J7" s="4"/>
      <c r="K7" s="5"/>
      <c r="L7" s="21"/>
      <c r="M7" s="22"/>
      <c r="N7" s="22"/>
      <c r="O7" s="22"/>
      <c r="P7" s="22"/>
      <c r="Q7" s="3"/>
      <c r="R7" s="7"/>
      <c r="S7" s="7"/>
      <c r="T7" s="7"/>
      <c r="U7" s="7"/>
    </row>
    <row r="8" spans="1:21" x14ac:dyDescent="0.25">
      <c r="L8" s="23"/>
      <c r="M8" s="22"/>
      <c r="N8" s="22"/>
      <c r="O8" s="22"/>
      <c r="P8" s="22"/>
    </row>
    <row r="9" spans="1:21" x14ac:dyDescent="0.25">
      <c r="L9" s="23"/>
      <c r="M9" s="22"/>
      <c r="N9" s="22"/>
      <c r="O9" s="23"/>
      <c r="P9" s="23"/>
    </row>
    <row r="10" spans="1:21" x14ac:dyDescent="0.25">
      <c r="L10" s="23"/>
      <c r="M10" s="22"/>
      <c r="N10" s="22"/>
      <c r="O10" s="23"/>
      <c r="P10" s="23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D1" workbookViewId="0">
      <selection sqref="A1:U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44449</v>
      </c>
      <c r="B2" s="7" t="s">
        <v>20</v>
      </c>
      <c r="C2" s="7" t="s">
        <v>32</v>
      </c>
      <c r="D2" s="7" t="s">
        <v>21</v>
      </c>
      <c r="E2" s="7" t="s">
        <v>86</v>
      </c>
      <c r="F2" s="7" t="s">
        <v>22</v>
      </c>
      <c r="G2" s="7">
        <v>70000</v>
      </c>
      <c r="H2" s="7" t="s">
        <v>33</v>
      </c>
      <c r="I2" s="7" t="s">
        <v>34</v>
      </c>
      <c r="J2" s="8">
        <v>0.45833333333333331</v>
      </c>
      <c r="K2" s="9">
        <v>0.4513888888888889</v>
      </c>
      <c r="L2" s="8">
        <v>0.25694444444444448</v>
      </c>
      <c r="M2" s="9">
        <v>0.25972222222222224</v>
      </c>
      <c r="N2" s="7" t="s">
        <v>202</v>
      </c>
      <c r="O2" s="7" t="s">
        <v>198</v>
      </c>
      <c r="P2" s="7">
        <v>515</v>
      </c>
      <c r="Q2" s="7">
        <v>525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6">
        <v>44449</v>
      </c>
      <c r="B3" s="6" t="s">
        <v>20</v>
      </c>
      <c r="C3" s="7" t="s">
        <v>35</v>
      </c>
      <c r="D3" s="7" t="s">
        <v>21</v>
      </c>
      <c r="E3" s="7" t="s">
        <v>197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0.4861111111111111</v>
      </c>
      <c r="K3" s="9">
        <v>0.47152777777777777</v>
      </c>
      <c r="L3" s="8">
        <v>0.29166666666666669</v>
      </c>
      <c r="M3" s="9">
        <v>0.28750000000000003</v>
      </c>
      <c r="N3" s="7" t="s">
        <v>203</v>
      </c>
      <c r="O3" s="7" t="s">
        <v>199</v>
      </c>
      <c r="P3" s="7">
        <v>533</v>
      </c>
      <c r="Q3" s="7">
        <v>1082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>
        <v>44449</v>
      </c>
      <c r="B4" s="7" t="s">
        <v>20</v>
      </c>
      <c r="C4" s="7" t="s">
        <v>38</v>
      </c>
      <c r="D4" s="7" t="s">
        <v>21</v>
      </c>
      <c r="E4" s="7" t="s">
        <v>86</v>
      </c>
      <c r="F4" s="7" t="s">
        <v>22</v>
      </c>
      <c r="G4" s="7">
        <v>70000</v>
      </c>
      <c r="H4" s="7" t="s">
        <v>39</v>
      </c>
      <c r="I4" s="7" t="s">
        <v>40</v>
      </c>
      <c r="J4" s="8">
        <v>0.71875</v>
      </c>
      <c r="K4" s="9">
        <v>0.71388888888888891</v>
      </c>
      <c r="L4" s="8">
        <v>0.48958333333333331</v>
      </c>
      <c r="M4" s="9">
        <v>0.49305555555555558</v>
      </c>
      <c r="N4" s="7" t="s">
        <v>206</v>
      </c>
      <c r="O4" s="7" t="s">
        <v>204</v>
      </c>
      <c r="P4" s="7">
        <v>489</v>
      </c>
      <c r="Q4" s="7">
        <v>1134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>
        <v>44449</v>
      </c>
      <c r="B5" s="7" t="s">
        <v>20</v>
      </c>
      <c r="C5" s="7" t="s">
        <v>38</v>
      </c>
      <c r="D5" s="7" t="s">
        <v>21</v>
      </c>
      <c r="E5" s="7" t="s">
        <v>197</v>
      </c>
      <c r="F5" s="7" t="s">
        <v>22</v>
      </c>
      <c r="G5" s="7">
        <v>70000</v>
      </c>
      <c r="H5" s="7" t="s">
        <v>50</v>
      </c>
      <c r="I5" s="7" t="s">
        <v>51</v>
      </c>
      <c r="J5" s="8">
        <v>0.67361111111111116</v>
      </c>
      <c r="K5" s="9">
        <v>0.66736111111111107</v>
      </c>
      <c r="L5" s="8">
        <v>0.50694444444444442</v>
      </c>
      <c r="M5" s="9">
        <v>0.51250000000000007</v>
      </c>
      <c r="N5" s="7" t="s">
        <v>207</v>
      </c>
      <c r="O5" s="7" t="s">
        <v>205</v>
      </c>
      <c r="P5" s="7">
        <v>586</v>
      </c>
      <c r="Q5" s="7">
        <v>1124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>
        <v>44449</v>
      </c>
      <c r="B6" s="7" t="s">
        <v>20</v>
      </c>
      <c r="C6" s="7" t="s">
        <v>41</v>
      </c>
      <c r="D6" s="7" t="s">
        <v>21</v>
      </c>
      <c r="E6" s="7" t="s">
        <v>86</v>
      </c>
      <c r="F6" s="7" t="s">
        <v>22</v>
      </c>
      <c r="G6" s="7">
        <v>70000</v>
      </c>
      <c r="H6" s="7" t="s">
        <v>42</v>
      </c>
      <c r="I6" s="7" t="s">
        <v>43</v>
      </c>
      <c r="J6" s="4">
        <v>0.92013888888888884</v>
      </c>
      <c r="K6" s="9">
        <v>0.95833333333333337</v>
      </c>
      <c r="L6" s="4">
        <v>0.73958333333333337</v>
      </c>
      <c r="M6" s="5">
        <v>0.74861111111111101</v>
      </c>
      <c r="N6" s="3" t="s">
        <v>209</v>
      </c>
      <c r="O6" s="3" t="s">
        <v>208</v>
      </c>
      <c r="P6" s="3">
        <v>775</v>
      </c>
      <c r="Q6" s="3">
        <v>1201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6">
        <v>44449</v>
      </c>
      <c r="B7" s="7" t="s">
        <v>44</v>
      </c>
      <c r="C7" s="7" t="s">
        <v>45</v>
      </c>
      <c r="D7" s="7" t="s">
        <v>21</v>
      </c>
      <c r="E7" s="7" t="s">
        <v>200</v>
      </c>
      <c r="F7" s="7" t="s">
        <v>71</v>
      </c>
      <c r="G7" s="7">
        <v>77000</v>
      </c>
      <c r="H7" s="7" t="s">
        <v>47</v>
      </c>
      <c r="I7" s="7" t="s">
        <v>48</v>
      </c>
      <c r="J7" s="9">
        <v>0.3298611111111111</v>
      </c>
      <c r="K7" s="9">
        <v>0.32916666666666666</v>
      </c>
      <c r="L7" s="9">
        <v>0.37152777777777773</v>
      </c>
      <c r="M7" s="9">
        <v>0.36805555555555558</v>
      </c>
      <c r="N7" s="7" t="s">
        <v>201</v>
      </c>
      <c r="O7" s="7">
        <v>0</v>
      </c>
      <c r="P7" s="7">
        <v>2238</v>
      </c>
      <c r="Q7" s="7">
        <v>0</v>
      </c>
      <c r="R7" s="7">
        <v>0</v>
      </c>
      <c r="S7" s="7">
        <v>0</v>
      </c>
      <c r="T7" s="7">
        <v>0</v>
      </c>
      <c r="U7" s="7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sqref="A1:XFD7"/>
    </sheetView>
  </sheetViews>
  <sheetFormatPr defaultRowHeight="15" x14ac:dyDescent="0.25"/>
  <cols>
    <col min="3" max="3" width="11.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2" x14ac:dyDescent="0.25">
      <c r="A2" s="6">
        <v>44450</v>
      </c>
      <c r="B2" s="7" t="s">
        <v>20</v>
      </c>
      <c r="C2" s="7" t="s">
        <v>66</v>
      </c>
      <c r="D2" s="7" t="s">
        <v>21</v>
      </c>
      <c r="E2" s="7" t="s">
        <v>197</v>
      </c>
      <c r="F2" s="7" t="s">
        <v>22</v>
      </c>
      <c r="G2" s="7">
        <v>70000</v>
      </c>
      <c r="H2" s="7" t="s">
        <v>67</v>
      </c>
      <c r="I2" s="7" t="s">
        <v>68</v>
      </c>
      <c r="J2" s="8">
        <v>0.375</v>
      </c>
      <c r="K2" s="9">
        <v>0.3756944444444445</v>
      </c>
      <c r="L2" s="8">
        <v>0.25694444444444448</v>
      </c>
      <c r="M2" s="9">
        <v>0.26250000000000001</v>
      </c>
      <c r="N2" s="7" t="s">
        <v>211</v>
      </c>
      <c r="O2" s="7" t="s">
        <v>72</v>
      </c>
      <c r="P2" s="7">
        <v>534</v>
      </c>
      <c r="Q2" s="7">
        <v>758</v>
      </c>
      <c r="R2" s="7">
        <v>0</v>
      </c>
      <c r="S2" s="7">
        <v>0</v>
      </c>
      <c r="T2" s="7">
        <v>0</v>
      </c>
      <c r="U2" s="7"/>
    </row>
    <row r="3" spans="1:22" x14ac:dyDescent="0.25">
      <c r="A3" s="6">
        <v>44450</v>
      </c>
      <c r="B3" s="7" t="s">
        <v>20</v>
      </c>
      <c r="C3" s="7" t="s">
        <v>70</v>
      </c>
      <c r="D3" s="7" t="s">
        <v>21</v>
      </c>
      <c r="E3" s="7" t="s">
        <v>86</v>
      </c>
      <c r="F3" s="7" t="s">
        <v>22</v>
      </c>
      <c r="G3" s="7">
        <v>70000</v>
      </c>
      <c r="H3" s="7" t="s">
        <v>52</v>
      </c>
      <c r="I3" s="7" t="s">
        <v>53</v>
      </c>
      <c r="J3" s="8">
        <v>0.4375</v>
      </c>
      <c r="K3" s="9">
        <v>0.47986111111111113</v>
      </c>
      <c r="L3" s="8">
        <v>0.2638888888888889</v>
      </c>
      <c r="M3" s="9">
        <v>0.3034722222222222</v>
      </c>
      <c r="N3" s="7" t="s">
        <v>229</v>
      </c>
      <c r="O3" s="7" t="s">
        <v>210</v>
      </c>
      <c r="P3" s="7">
        <v>918</v>
      </c>
      <c r="Q3" s="7">
        <v>1335</v>
      </c>
      <c r="R3" s="7">
        <v>0</v>
      </c>
      <c r="S3" s="7">
        <v>0</v>
      </c>
      <c r="T3" s="7">
        <v>0</v>
      </c>
      <c r="U3" s="7"/>
    </row>
    <row r="4" spans="1:22" x14ac:dyDescent="0.25">
      <c r="A4" s="6">
        <v>44450</v>
      </c>
      <c r="B4" s="7" t="s">
        <v>20</v>
      </c>
      <c r="C4" s="7" t="s">
        <v>23</v>
      </c>
      <c r="D4" s="7" t="s">
        <v>21</v>
      </c>
      <c r="E4" s="7" t="s">
        <v>197</v>
      </c>
      <c r="F4" s="7" t="s">
        <v>22</v>
      </c>
      <c r="G4" s="7">
        <v>70000</v>
      </c>
      <c r="H4" s="7" t="s">
        <v>24</v>
      </c>
      <c r="I4" s="7" t="s">
        <v>25</v>
      </c>
      <c r="J4" s="8">
        <v>0.5625</v>
      </c>
      <c r="K4" s="9">
        <v>0.56805555555555554</v>
      </c>
      <c r="L4" s="8">
        <v>0.39583333333333331</v>
      </c>
      <c r="M4" s="9">
        <v>0.40486111111111112</v>
      </c>
      <c r="N4" s="7" t="s">
        <v>230</v>
      </c>
      <c r="O4" s="7" t="s">
        <v>228</v>
      </c>
      <c r="P4" s="7">
        <v>939</v>
      </c>
      <c r="Q4" s="7">
        <v>1182</v>
      </c>
      <c r="R4" s="7">
        <v>0</v>
      </c>
      <c r="S4" s="7">
        <v>0</v>
      </c>
      <c r="T4" s="7">
        <v>0</v>
      </c>
      <c r="U4" s="7"/>
    </row>
    <row r="5" spans="1:22" x14ac:dyDescent="0.25">
      <c r="A5" s="6">
        <v>44450</v>
      </c>
      <c r="B5" s="7" t="s">
        <v>20</v>
      </c>
      <c r="C5" s="7" t="s">
        <v>69</v>
      </c>
      <c r="D5" s="7" t="s">
        <v>21</v>
      </c>
      <c r="E5" s="7" t="s">
        <v>86</v>
      </c>
      <c r="F5" s="7" t="s">
        <v>22</v>
      </c>
      <c r="G5" s="7">
        <v>70000</v>
      </c>
      <c r="H5" s="7" t="s">
        <v>54</v>
      </c>
      <c r="I5" s="7" t="s">
        <v>55</v>
      </c>
      <c r="J5" s="8">
        <v>0.67361111111111116</v>
      </c>
      <c r="K5" s="9">
        <v>0.75347222222222221</v>
      </c>
      <c r="L5" s="8">
        <v>0.46875</v>
      </c>
      <c r="M5" s="9">
        <v>0.51736111111111105</v>
      </c>
      <c r="N5" s="7" t="s">
        <v>234</v>
      </c>
      <c r="O5" s="7" t="s">
        <v>115</v>
      </c>
      <c r="P5" s="7">
        <v>395</v>
      </c>
      <c r="Q5" s="7">
        <v>1135</v>
      </c>
      <c r="R5" s="7">
        <v>0</v>
      </c>
      <c r="S5" s="7">
        <v>0</v>
      </c>
      <c r="T5" s="7">
        <v>0</v>
      </c>
    </row>
    <row r="6" spans="1:22" x14ac:dyDescent="0.25">
      <c r="A6" s="6">
        <v>44450</v>
      </c>
      <c r="B6" s="6" t="s">
        <v>20</v>
      </c>
      <c r="C6" s="7" t="s">
        <v>26</v>
      </c>
      <c r="D6" s="7" t="s">
        <v>21</v>
      </c>
      <c r="E6" s="7" t="s">
        <v>197</v>
      </c>
      <c r="F6" s="7" t="s">
        <v>22</v>
      </c>
      <c r="G6" s="7">
        <v>70000</v>
      </c>
      <c r="H6" s="7" t="s">
        <v>27</v>
      </c>
      <c r="I6" s="7" t="s">
        <v>28</v>
      </c>
      <c r="J6" s="8">
        <v>0.95486111111111116</v>
      </c>
      <c r="K6" s="9">
        <v>0.94652777777777775</v>
      </c>
      <c r="L6" s="8">
        <v>0.60069444444444442</v>
      </c>
      <c r="M6" s="9">
        <v>0.60416666666666663</v>
      </c>
      <c r="N6" s="7" t="s">
        <v>235</v>
      </c>
      <c r="O6" s="7" t="s">
        <v>232</v>
      </c>
      <c r="P6" s="7">
        <v>699</v>
      </c>
      <c r="Q6" s="7">
        <v>1203</v>
      </c>
      <c r="R6" s="7">
        <v>0</v>
      </c>
      <c r="S6" s="7">
        <v>0</v>
      </c>
      <c r="T6" s="7">
        <v>0</v>
      </c>
    </row>
    <row r="7" spans="1:22" x14ac:dyDescent="0.25">
      <c r="A7" s="6">
        <v>44450</v>
      </c>
      <c r="B7" s="7" t="s">
        <v>20</v>
      </c>
      <c r="C7" s="7" t="s">
        <v>56</v>
      </c>
      <c r="D7" s="7" t="s">
        <v>21</v>
      </c>
      <c r="E7" s="7" t="s">
        <v>86</v>
      </c>
      <c r="F7" s="7" t="s">
        <v>22</v>
      </c>
      <c r="G7" s="7">
        <v>70000</v>
      </c>
      <c r="H7" s="7" t="s">
        <v>57</v>
      </c>
      <c r="I7" s="7" t="s">
        <v>58</v>
      </c>
      <c r="J7" s="8">
        <v>0.90972222222222221</v>
      </c>
      <c r="K7" s="9">
        <v>0.97916666666666663</v>
      </c>
      <c r="L7" s="8">
        <v>0.69444444444444453</v>
      </c>
      <c r="M7" s="9">
        <v>0.78888888888888886</v>
      </c>
      <c r="N7" s="7" t="s">
        <v>236</v>
      </c>
      <c r="O7" s="7" t="s">
        <v>233</v>
      </c>
      <c r="P7" s="7">
        <v>556</v>
      </c>
      <c r="Q7" s="7">
        <v>1568</v>
      </c>
      <c r="R7" s="7">
        <v>0</v>
      </c>
      <c r="S7" s="7">
        <v>0</v>
      </c>
      <c r="T7" s="12">
        <v>0</v>
      </c>
    </row>
    <row r="8" spans="1:22" x14ac:dyDescent="0.25">
      <c r="A8" s="24">
        <f t="shared" ref="A8:B16" si="0">A7</f>
        <v>44450</v>
      </c>
      <c r="B8" s="25" t="s">
        <v>212</v>
      </c>
      <c r="C8" s="25" t="s">
        <v>222</v>
      </c>
      <c r="D8" s="25" t="s">
        <v>213</v>
      </c>
      <c r="E8" s="25" t="s">
        <v>231</v>
      </c>
      <c r="F8" s="26" t="s">
        <v>214</v>
      </c>
      <c r="G8" s="15">
        <v>1315</v>
      </c>
      <c r="H8" s="26" t="s">
        <v>138</v>
      </c>
      <c r="I8" s="26" t="s">
        <v>138</v>
      </c>
      <c r="J8" s="8">
        <v>0.39583333333333331</v>
      </c>
      <c r="K8" s="9">
        <v>0.38750000000000001</v>
      </c>
      <c r="L8" s="8" t="s">
        <v>171</v>
      </c>
      <c r="M8" s="8" t="s">
        <v>171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2" x14ac:dyDescent="0.25">
      <c r="A9" s="24">
        <f t="shared" si="0"/>
        <v>44450</v>
      </c>
      <c r="B9" s="25" t="s">
        <v>212</v>
      </c>
      <c r="C9" s="25" t="s">
        <v>222</v>
      </c>
      <c r="D9" s="25" t="s">
        <v>215</v>
      </c>
      <c r="E9" s="25" t="s">
        <v>224</v>
      </c>
      <c r="F9" s="26" t="s">
        <v>214</v>
      </c>
      <c r="G9" s="15">
        <v>1156</v>
      </c>
      <c r="H9" s="26" t="s">
        <v>138</v>
      </c>
      <c r="I9" s="26" t="s">
        <v>138</v>
      </c>
      <c r="J9" s="8">
        <v>0.39583333333333331</v>
      </c>
      <c r="K9" s="9">
        <v>0.3888888888888889</v>
      </c>
      <c r="L9" s="8" t="s">
        <v>171</v>
      </c>
      <c r="M9" s="8" t="s">
        <v>171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2" x14ac:dyDescent="0.25">
      <c r="A10" s="24">
        <f t="shared" si="0"/>
        <v>44450</v>
      </c>
      <c r="B10" s="25" t="s">
        <v>212</v>
      </c>
      <c r="C10" s="25" t="s">
        <v>222</v>
      </c>
      <c r="D10" s="7" t="s">
        <v>225</v>
      </c>
      <c r="E10" s="7" t="s">
        <v>226</v>
      </c>
      <c r="F10" s="26" t="s">
        <v>214</v>
      </c>
      <c r="G10" s="15">
        <v>2200</v>
      </c>
      <c r="H10" s="7" t="s">
        <v>138</v>
      </c>
      <c r="I10" s="7" t="s">
        <v>138</v>
      </c>
      <c r="J10" s="8">
        <v>0.39583333333333331</v>
      </c>
      <c r="K10" s="9">
        <v>0.39097222222222222</v>
      </c>
      <c r="L10" s="8" t="s">
        <v>171</v>
      </c>
      <c r="M10" s="8" t="s">
        <v>171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2" x14ac:dyDescent="0.25">
      <c r="A11" s="24">
        <f t="shared" si="0"/>
        <v>44450</v>
      </c>
      <c r="B11" s="25" t="s">
        <v>212</v>
      </c>
      <c r="C11" s="25" t="s">
        <v>222</v>
      </c>
      <c r="D11" s="25" t="s">
        <v>213</v>
      </c>
      <c r="E11" s="25" t="s">
        <v>223</v>
      </c>
      <c r="F11" s="26" t="s">
        <v>214</v>
      </c>
      <c r="G11" s="15">
        <v>1315</v>
      </c>
      <c r="H11" s="26" t="s">
        <v>138</v>
      </c>
      <c r="I11" s="26" t="s">
        <v>138</v>
      </c>
      <c r="J11" s="8">
        <v>0.39583333333333331</v>
      </c>
      <c r="K11" s="9">
        <v>0.38541666666666669</v>
      </c>
      <c r="L11" s="8" t="s">
        <v>171</v>
      </c>
      <c r="M11" s="8" t="s">
        <v>171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</row>
    <row r="12" spans="1:22" x14ac:dyDescent="0.25">
      <c r="A12" s="24">
        <f t="shared" si="0"/>
        <v>44450</v>
      </c>
      <c r="B12" s="25" t="s">
        <v>212</v>
      </c>
      <c r="C12" s="25" t="s">
        <v>222</v>
      </c>
      <c r="D12" s="25" t="s">
        <v>215</v>
      </c>
      <c r="E12" s="25" t="s">
        <v>216</v>
      </c>
      <c r="F12" s="26" t="s">
        <v>214</v>
      </c>
      <c r="G12" s="15">
        <v>1025</v>
      </c>
      <c r="H12" s="26" t="s">
        <v>138</v>
      </c>
      <c r="I12" s="26" t="s">
        <v>138</v>
      </c>
      <c r="J12" s="8">
        <v>0.39583333333333331</v>
      </c>
      <c r="K12" s="9">
        <v>0.39444444444444443</v>
      </c>
      <c r="L12" s="8" t="s">
        <v>171</v>
      </c>
      <c r="M12" s="8" t="s">
        <v>171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2" x14ac:dyDescent="0.25">
      <c r="A13" s="24">
        <f t="shared" si="0"/>
        <v>44450</v>
      </c>
      <c r="B13" s="25" t="s">
        <v>212</v>
      </c>
      <c r="C13" s="25" t="s">
        <v>222</v>
      </c>
      <c r="D13" s="7" t="s">
        <v>218</v>
      </c>
      <c r="E13" s="7" t="s">
        <v>219</v>
      </c>
      <c r="F13" s="26" t="s">
        <v>214</v>
      </c>
      <c r="G13" s="15">
        <v>1633</v>
      </c>
      <c r="H13" s="26" t="s">
        <v>138</v>
      </c>
      <c r="I13" s="26" t="s">
        <v>138</v>
      </c>
      <c r="J13" s="8">
        <v>0.39583333333333331</v>
      </c>
      <c r="K13" s="9">
        <v>0.39513888888888887</v>
      </c>
      <c r="L13" s="8" t="s">
        <v>171</v>
      </c>
      <c r="M13" s="8" t="s">
        <v>171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</row>
    <row r="14" spans="1:22" x14ac:dyDescent="0.25">
      <c r="A14" s="24">
        <f t="shared" si="0"/>
        <v>44450</v>
      </c>
      <c r="B14" s="25" t="s">
        <v>212</v>
      </c>
      <c r="C14" s="25" t="s">
        <v>222</v>
      </c>
      <c r="D14" s="7" t="s">
        <v>220</v>
      </c>
      <c r="E14" s="7" t="s">
        <v>221</v>
      </c>
      <c r="F14" s="26" t="s">
        <v>214</v>
      </c>
      <c r="G14" s="15">
        <v>1633</v>
      </c>
      <c r="H14" s="26" t="s">
        <v>138</v>
      </c>
      <c r="I14" s="26" t="s">
        <v>138</v>
      </c>
      <c r="J14" s="8">
        <v>0.39583333333333331</v>
      </c>
      <c r="K14" s="9">
        <v>0.39861111111111108</v>
      </c>
      <c r="L14" s="8" t="s">
        <v>171</v>
      </c>
      <c r="M14" s="8" t="s">
        <v>171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2" x14ac:dyDescent="0.25">
      <c r="A15" s="24">
        <f t="shared" si="0"/>
        <v>44450</v>
      </c>
      <c r="B15" s="24" t="str">
        <f t="shared" si="0"/>
        <v>GAS AVIAITON</v>
      </c>
      <c r="C15" s="25" t="s">
        <v>222</v>
      </c>
      <c r="D15" s="12" t="s">
        <v>215</v>
      </c>
      <c r="E15" s="7" t="s">
        <v>227</v>
      </c>
      <c r="F15" s="26" t="s">
        <v>214</v>
      </c>
      <c r="G15" s="15">
        <v>1156</v>
      </c>
      <c r="H15" s="12"/>
      <c r="I15" s="12"/>
      <c r="J15" s="8">
        <v>0.39583333333333331</v>
      </c>
      <c r="K15" s="9">
        <v>0.3972222222222222</v>
      </c>
      <c r="L15" s="8" t="s">
        <v>171</v>
      </c>
      <c r="M15" s="8" t="s">
        <v>171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</row>
    <row r="16" spans="1:22" x14ac:dyDescent="0.25">
      <c r="A16" s="24">
        <f t="shared" si="0"/>
        <v>44450</v>
      </c>
      <c r="B16" s="24" t="str">
        <f t="shared" si="0"/>
        <v>GAS AVIAITON</v>
      </c>
      <c r="C16" s="25" t="s">
        <v>222</v>
      </c>
      <c r="D16" s="25" t="s">
        <v>215</v>
      </c>
      <c r="E16" s="7" t="s">
        <v>217</v>
      </c>
      <c r="F16" s="26" t="s">
        <v>214</v>
      </c>
      <c r="G16" s="15">
        <v>1025</v>
      </c>
      <c r="H16" s="12"/>
      <c r="I16" s="12"/>
      <c r="J16" s="8">
        <v>0.39583333333333331</v>
      </c>
      <c r="K16" s="9">
        <v>0.3923611111111111</v>
      </c>
      <c r="L16" s="8" t="s">
        <v>171</v>
      </c>
      <c r="M16" s="8" t="s">
        <v>171</v>
      </c>
      <c r="N16" s="12"/>
      <c r="O16" s="12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selection sqref="A1:XFD5"/>
    </sheetView>
  </sheetViews>
  <sheetFormatPr defaultRowHeight="15" x14ac:dyDescent="0.25"/>
  <cols>
    <col min="1" max="1" width="9.28515625" customWidth="1"/>
    <col min="2" max="2" width="10.140625" customWidth="1"/>
    <col min="3" max="3" width="13.140625" customWidth="1"/>
    <col min="6" max="6" width="12.140625" bestFit="1" customWidth="1"/>
    <col min="10" max="10" width="9" customWidth="1"/>
    <col min="11" max="11" width="8.140625" customWidth="1"/>
    <col min="12" max="12" width="9.5703125" customWidth="1"/>
    <col min="13" max="13" width="10.85546875" bestFit="1" customWidth="1"/>
    <col min="14" max="14" width="13.28515625" customWidth="1"/>
    <col min="15" max="15" width="16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6">
        <v>44451</v>
      </c>
      <c r="B2" s="7" t="s">
        <v>20</v>
      </c>
      <c r="C2" s="7" t="s">
        <v>61</v>
      </c>
      <c r="D2" s="7" t="s">
        <v>21</v>
      </c>
      <c r="E2" s="7" t="s">
        <v>86</v>
      </c>
      <c r="F2" s="7" t="s">
        <v>22</v>
      </c>
      <c r="G2" s="7">
        <v>70000</v>
      </c>
      <c r="H2" s="7" t="s">
        <v>65</v>
      </c>
      <c r="I2" s="7" t="s">
        <v>121</v>
      </c>
      <c r="J2" s="8">
        <v>0.70486111111111116</v>
      </c>
      <c r="K2" s="9">
        <v>0.68402777777777779</v>
      </c>
      <c r="L2" s="8">
        <v>0.46875</v>
      </c>
      <c r="M2" s="9">
        <v>0.46666666666666662</v>
      </c>
      <c r="N2" s="7" t="s">
        <v>239</v>
      </c>
      <c r="O2" s="7" t="s">
        <v>237</v>
      </c>
      <c r="P2" s="7">
        <v>579</v>
      </c>
      <c r="Q2" s="7">
        <v>1085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</row>
    <row r="3" spans="1:24" x14ac:dyDescent="0.25">
      <c r="A3" s="6">
        <v>44451</v>
      </c>
      <c r="B3" s="7" t="s">
        <v>20</v>
      </c>
      <c r="C3" s="7" t="s">
        <v>122</v>
      </c>
      <c r="D3" s="7" t="s">
        <v>21</v>
      </c>
      <c r="E3" s="7" t="s">
        <v>197</v>
      </c>
      <c r="F3" s="7" t="s">
        <v>22</v>
      </c>
      <c r="G3" s="7">
        <v>70000</v>
      </c>
      <c r="H3" s="7" t="s">
        <v>123</v>
      </c>
      <c r="I3" s="7" t="s">
        <v>124</v>
      </c>
      <c r="J3" s="8">
        <v>0.69097222222222221</v>
      </c>
      <c r="K3" s="9">
        <v>0.68055555555555547</v>
      </c>
      <c r="L3" s="8">
        <v>0.54166666666666663</v>
      </c>
      <c r="M3" s="9">
        <v>0.5493055555555556</v>
      </c>
      <c r="N3" s="7" t="s">
        <v>240</v>
      </c>
      <c r="O3" s="7" t="s">
        <v>238</v>
      </c>
      <c r="P3" s="7">
        <v>323</v>
      </c>
      <c r="Q3" s="7">
        <v>994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</row>
    <row r="4" spans="1:24" x14ac:dyDescent="0.25">
      <c r="A4" s="6">
        <v>44451</v>
      </c>
      <c r="B4" s="7" t="s">
        <v>20</v>
      </c>
      <c r="C4" s="7" t="s">
        <v>29</v>
      </c>
      <c r="D4" s="7" t="s">
        <v>21</v>
      </c>
      <c r="E4" s="7" t="s">
        <v>197</v>
      </c>
      <c r="F4" s="7" t="s">
        <v>22</v>
      </c>
      <c r="G4" s="7">
        <v>70000</v>
      </c>
      <c r="H4" s="7" t="s">
        <v>30</v>
      </c>
      <c r="I4" s="7" t="s">
        <v>31</v>
      </c>
      <c r="J4" s="8">
        <v>0.90625</v>
      </c>
      <c r="K4" s="9">
        <v>0.90277777777777779</v>
      </c>
      <c r="L4" s="8">
        <v>0.71527777777777779</v>
      </c>
      <c r="M4" s="9">
        <v>0.72222222222222221</v>
      </c>
      <c r="N4" s="7" t="s">
        <v>243</v>
      </c>
      <c r="O4" s="7" t="s">
        <v>241</v>
      </c>
      <c r="P4" s="7">
        <v>888</v>
      </c>
      <c r="Q4" s="7">
        <v>1141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</row>
    <row r="5" spans="1:24" x14ac:dyDescent="0.25">
      <c r="A5" s="6">
        <v>44451</v>
      </c>
      <c r="B5" s="7" t="s">
        <v>20</v>
      </c>
      <c r="C5" s="7" t="s">
        <v>62</v>
      </c>
      <c r="D5" s="7" t="s">
        <v>21</v>
      </c>
      <c r="E5" s="7" t="s">
        <v>86</v>
      </c>
      <c r="F5" s="7" t="s">
        <v>22</v>
      </c>
      <c r="G5" s="7">
        <v>70000</v>
      </c>
      <c r="H5" s="7" t="s">
        <v>64</v>
      </c>
      <c r="I5" s="7" t="s">
        <v>63</v>
      </c>
      <c r="J5" s="8">
        <v>0.94097222222222221</v>
      </c>
      <c r="K5" s="9">
        <v>0.95347222222222217</v>
      </c>
      <c r="L5" s="8">
        <v>0.72569444444444453</v>
      </c>
      <c r="M5" s="9">
        <v>0.74583333333333324</v>
      </c>
      <c r="N5" s="7" t="s">
        <v>244</v>
      </c>
      <c r="O5" s="7" t="s">
        <v>242</v>
      </c>
      <c r="P5" s="7">
        <v>833</v>
      </c>
      <c r="Q5" s="7">
        <v>708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</row>
    <row r="6" spans="1:24" x14ac:dyDescent="0.25">
      <c r="A6" s="6"/>
      <c r="B6" s="7"/>
      <c r="C6" s="7"/>
      <c r="D6" s="7"/>
      <c r="E6" s="7"/>
      <c r="F6" s="7"/>
      <c r="G6" s="7"/>
      <c r="H6" s="7"/>
      <c r="I6" s="7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8"/>
  <sheetViews>
    <sheetView workbookViewId="0">
      <selection activeCell="G26" sqref="G26"/>
    </sheetView>
  </sheetViews>
  <sheetFormatPr defaultRowHeight="15" x14ac:dyDescent="0.25"/>
  <cols>
    <col min="2" max="2" width="9.5703125" customWidth="1"/>
    <col min="3" max="3" width="13.28515625" customWidth="1"/>
    <col min="6" max="6" width="12.5703125" bestFit="1" customWidth="1"/>
    <col min="10" max="10" width="11" bestFit="1" customWidth="1"/>
    <col min="11" max="11" width="9.140625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 t="s">
        <v>246</v>
      </c>
      <c r="B2" s="6" t="s">
        <v>20</v>
      </c>
      <c r="C2" s="7" t="s">
        <v>32</v>
      </c>
      <c r="D2" s="7" t="s">
        <v>21</v>
      </c>
      <c r="E2" s="7" t="s">
        <v>76</v>
      </c>
      <c r="F2" s="7" t="s">
        <v>22</v>
      </c>
      <c r="G2" s="7">
        <v>70000</v>
      </c>
      <c r="H2" s="7" t="s">
        <v>33</v>
      </c>
      <c r="I2" s="7" t="s">
        <v>34</v>
      </c>
      <c r="J2" s="8">
        <v>0.45833333333333331</v>
      </c>
      <c r="K2" s="9">
        <v>0.50972222222222219</v>
      </c>
      <c r="L2" s="8">
        <v>0.25694444444444448</v>
      </c>
      <c r="M2" s="9">
        <v>0.33611111111111108</v>
      </c>
      <c r="N2" s="7" t="s">
        <v>251</v>
      </c>
      <c r="O2" s="7" t="s">
        <v>245</v>
      </c>
      <c r="P2" s="7">
        <v>176</v>
      </c>
      <c r="Q2" s="7">
        <v>643</v>
      </c>
      <c r="R2" s="7">
        <v>0</v>
      </c>
      <c r="S2" s="7">
        <v>0</v>
      </c>
      <c r="T2" s="7">
        <v>0</v>
      </c>
      <c r="U2" s="7">
        <v>0</v>
      </c>
    </row>
    <row r="3" spans="1:21" x14ac:dyDescent="0.25">
      <c r="A3" s="6" t="s">
        <v>246</v>
      </c>
      <c r="B3" s="7" t="s">
        <v>20</v>
      </c>
      <c r="C3" s="7" t="s">
        <v>35</v>
      </c>
      <c r="D3" s="7" t="s">
        <v>21</v>
      </c>
      <c r="E3" s="7" t="s">
        <v>248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0.85416666666666663</v>
      </c>
      <c r="K3" s="9">
        <v>0.89861111111111114</v>
      </c>
      <c r="L3" s="8">
        <v>0.39583333333333331</v>
      </c>
      <c r="M3" s="9">
        <v>0.4604166666666667</v>
      </c>
      <c r="N3" s="7" t="s">
        <v>257</v>
      </c>
      <c r="O3" s="7" t="s">
        <v>252</v>
      </c>
      <c r="P3" s="7">
        <v>529</v>
      </c>
      <c r="Q3" s="7">
        <v>1016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6" t="s">
        <v>246</v>
      </c>
      <c r="B4" s="7" t="s">
        <v>20</v>
      </c>
      <c r="C4" s="7" t="s">
        <v>38</v>
      </c>
      <c r="D4" s="7" t="s">
        <v>21</v>
      </c>
      <c r="E4" s="7" t="s">
        <v>76</v>
      </c>
      <c r="F4" s="7" t="s">
        <v>22</v>
      </c>
      <c r="G4" s="7">
        <v>70000</v>
      </c>
      <c r="H4" s="7" t="s">
        <v>39</v>
      </c>
      <c r="I4" s="7" t="s">
        <v>40</v>
      </c>
      <c r="J4" s="8">
        <v>0.71875</v>
      </c>
      <c r="K4" s="9">
        <v>0.78472222222222221</v>
      </c>
      <c r="L4" s="8">
        <v>0.48958333333333331</v>
      </c>
      <c r="M4" s="9">
        <v>0.55694444444444446</v>
      </c>
      <c r="N4" s="7" t="s">
        <v>254</v>
      </c>
      <c r="O4" s="7" t="s">
        <v>253</v>
      </c>
      <c r="P4" s="7">
        <v>295</v>
      </c>
      <c r="Q4" s="7">
        <v>862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 t="s">
        <v>246</v>
      </c>
      <c r="B5" s="7" t="s">
        <v>20</v>
      </c>
      <c r="C5" s="7" t="s">
        <v>41</v>
      </c>
      <c r="D5" s="7" t="s">
        <v>21</v>
      </c>
      <c r="E5" s="7" t="s">
        <v>76</v>
      </c>
      <c r="F5" s="7" t="s">
        <v>22</v>
      </c>
      <c r="G5" s="7">
        <v>70000</v>
      </c>
      <c r="H5" s="7" t="s">
        <v>42</v>
      </c>
      <c r="I5" s="7" t="s">
        <v>43</v>
      </c>
      <c r="J5" s="4">
        <v>0.92013888888888884</v>
      </c>
      <c r="K5" s="9">
        <v>0.98263888888888884</v>
      </c>
      <c r="L5" s="4">
        <v>0.73958333333333337</v>
      </c>
      <c r="M5" s="5">
        <v>0.81527777777777777</v>
      </c>
      <c r="N5" s="7" t="s">
        <v>258</v>
      </c>
      <c r="O5" s="7" t="s">
        <v>256</v>
      </c>
      <c r="P5" s="7">
        <v>795</v>
      </c>
      <c r="Q5" s="3">
        <v>877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 t="s">
        <v>246</v>
      </c>
      <c r="B6" s="6" t="s">
        <v>20</v>
      </c>
      <c r="C6" s="7" t="s">
        <v>247</v>
      </c>
      <c r="D6" s="7" t="s">
        <v>21</v>
      </c>
      <c r="E6" s="7" t="s">
        <v>248</v>
      </c>
      <c r="F6" s="7" t="s">
        <v>22</v>
      </c>
      <c r="G6" s="7">
        <v>70000</v>
      </c>
      <c r="H6" s="7" t="s">
        <v>249</v>
      </c>
      <c r="I6" s="7" t="s">
        <v>250</v>
      </c>
      <c r="J6" s="8">
        <v>0.375</v>
      </c>
      <c r="K6" s="9">
        <v>0.42083333333333334</v>
      </c>
      <c r="L6" s="8">
        <v>0.9375</v>
      </c>
      <c r="M6" s="9"/>
      <c r="N6" s="7"/>
      <c r="O6" s="7"/>
      <c r="P6" s="7"/>
      <c r="Q6" s="7"/>
      <c r="R6" s="7">
        <v>0</v>
      </c>
      <c r="S6" s="7">
        <v>0</v>
      </c>
      <c r="T6" s="7">
        <v>0</v>
      </c>
      <c r="U6" s="7">
        <v>0</v>
      </c>
    </row>
    <row r="7" spans="1:21" x14ac:dyDescent="0.25">
      <c r="A7" s="24" t="str">
        <f t="shared" ref="A7:B15" si="0">A6</f>
        <v>13.09.2021.</v>
      </c>
      <c r="B7" s="25" t="s">
        <v>212</v>
      </c>
      <c r="C7" s="25" t="s">
        <v>255</v>
      </c>
      <c r="D7" s="25" t="s">
        <v>213</v>
      </c>
      <c r="E7" s="25" t="s">
        <v>231</v>
      </c>
      <c r="F7" s="26" t="s">
        <v>214</v>
      </c>
      <c r="G7" s="15">
        <v>1315</v>
      </c>
      <c r="H7" s="26" t="s">
        <v>138</v>
      </c>
      <c r="I7" s="26" t="s">
        <v>138</v>
      </c>
      <c r="J7" s="8"/>
      <c r="K7" s="8">
        <v>0.66736111111111107</v>
      </c>
      <c r="L7" s="8"/>
      <c r="M7" s="9">
        <v>0.60555555555555551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1" s="14" customFormat="1" x14ac:dyDescent="0.25">
      <c r="A8" s="24" t="str">
        <f t="shared" si="0"/>
        <v>13.09.2021.</v>
      </c>
      <c r="B8" s="25" t="s">
        <v>212</v>
      </c>
      <c r="C8" s="25" t="s">
        <v>255</v>
      </c>
      <c r="D8" s="25" t="s">
        <v>215</v>
      </c>
      <c r="E8" s="25" t="s">
        <v>224</v>
      </c>
      <c r="F8" s="26" t="s">
        <v>214</v>
      </c>
      <c r="G8" s="15">
        <v>1156</v>
      </c>
      <c r="H8" s="26" t="s">
        <v>138</v>
      </c>
      <c r="I8" s="26" t="s">
        <v>138</v>
      </c>
      <c r="J8" s="8"/>
      <c r="K8" s="8">
        <v>0.67847222222222225</v>
      </c>
      <c r="L8" s="8"/>
      <c r="M8" s="9">
        <v>0.60833333333333328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1" s="14" customFormat="1" x14ac:dyDescent="0.25">
      <c r="A9" s="24" t="str">
        <f t="shared" si="0"/>
        <v>13.09.2021.</v>
      </c>
      <c r="B9" s="25" t="s">
        <v>212</v>
      </c>
      <c r="C9" s="25" t="s">
        <v>255</v>
      </c>
      <c r="D9" s="7" t="s">
        <v>225</v>
      </c>
      <c r="E9" s="7" t="s">
        <v>226</v>
      </c>
      <c r="F9" s="26" t="s">
        <v>214</v>
      </c>
      <c r="G9" s="15">
        <v>2200</v>
      </c>
      <c r="H9" s="7" t="s">
        <v>138</v>
      </c>
      <c r="I9" s="7" t="s">
        <v>138</v>
      </c>
      <c r="J9" s="8"/>
      <c r="K9" s="8">
        <v>0.66527777777777775</v>
      </c>
      <c r="L9" s="8"/>
      <c r="M9" s="9">
        <v>0.60972222222222217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1" s="3" customFormat="1" ht="12.75" x14ac:dyDescent="0.2">
      <c r="A10" s="24" t="str">
        <f t="shared" si="0"/>
        <v>13.09.2021.</v>
      </c>
      <c r="B10" s="25" t="s">
        <v>212</v>
      </c>
      <c r="C10" s="25" t="s">
        <v>255</v>
      </c>
      <c r="D10" s="25" t="s">
        <v>213</v>
      </c>
      <c r="E10" s="25" t="s">
        <v>223</v>
      </c>
      <c r="F10" s="26" t="s">
        <v>214</v>
      </c>
      <c r="G10" s="15">
        <v>1315</v>
      </c>
      <c r="H10" s="26" t="s">
        <v>138</v>
      </c>
      <c r="I10" s="26" t="s">
        <v>138</v>
      </c>
      <c r="J10" s="8"/>
      <c r="K10" s="8">
        <v>0.63888888888888895</v>
      </c>
      <c r="L10" s="8"/>
      <c r="M10" s="9">
        <v>0.61111111111111105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1" x14ac:dyDescent="0.25">
      <c r="A11" s="24" t="str">
        <f t="shared" si="0"/>
        <v>13.09.2021.</v>
      </c>
      <c r="B11" s="25" t="s">
        <v>212</v>
      </c>
      <c r="C11" s="25" t="s">
        <v>255</v>
      </c>
      <c r="D11" s="25" t="s">
        <v>215</v>
      </c>
      <c r="E11" s="25" t="s">
        <v>216</v>
      </c>
      <c r="F11" s="26" t="s">
        <v>214</v>
      </c>
      <c r="G11" s="15">
        <v>1025</v>
      </c>
      <c r="H11" s="26" t="s">
        <v>138</v>
      </c>
      <c r="I11" s="26" t="s">
        <v>138</v>
      </c>
      <c r="J11" s="8"/>
      <c r="K11" s="8">
        <v>0.64374999999999993</v>
      </c>
      <c r="L11" s="8"/>
      <c r="M11" s="9">
        <v>0.61249999999999993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</row>
    <row r="12" spans="1:21" x14ac:dyDescent="0.25">
      <c r="A12" s="24" t="str">
        <f t="shared" si="0"/>
        <v>13.09.2021.</v>
      </c>
      <c r="B12" s="25" t="s">
        <v>212</v>
      </c>
      <c r="C12" s="25" t="s">
        <v>255</v>
      </c>
      <c r="D12" s="7" t="s">
        <v>218</v>
      </c>
      <c r="E12" s="7" t="s">
        <v>219</v>
      </c>
      <c r="F12" s="26" t="s">
        <v>214</v>
      </c>
      <c r="G12" s="15">
        <v>1633</v>
      </c>
      <c r="H12" s="26" t="s">
        <v>138</v>
      </c>
      <c r="I12" s="26" t="s">
        <v>138</v>
      </c>
      <c r="J12" s="8"/>
      <c r="K12" s="8">
        <v>0.64930555555555558</v>
      </c>
      <c r="L12" s="8"/>
      <c r="M12" s="9">
        <v>0.61388888888888882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1" x14ac:dyDescent="0.25">
      <c r="A13" s="24" t="str">
        <f t="shared" si="0"/>
        <v>13.09.2021.</v>
      </c>
      <c r="B13" s="25" t="s">
        <v>212</v>
      </c>
      <c r="C13" s="25" t="s">
        <v>255</v>
      </c>
      <c r="D13" s="7" t="s">
        <v>220</v>
      </c>
      <c r="E13" s="7" t="s">
        <v>221</v>
      </c>
      <c r="F13" s="26" t="s">
        <v>214</v>
      </c>
      <c r="G13" s="15">
        <v>1633</v>
      </c>
      <c r="H13" s="26" t="s">
        <v>138</v>
      </c>
      <c r="I13" s="26" t="s">
        <v>138</v>
      </c>
      <c r="J13" s="8"/>
      <c r="K13" s="8">
        <v>0.65138888888888891</v>
      </c>
      <c r="L13" s="8"/>
      <c r="M13" s="9">
        <v>0.61597222222222225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</row>
    <row r="14" spans="1:21" x14ac:dyDescent="0.25">
      <c r="A14" s="24" t="str">
        <f t="shared" si="0"/>
        <v>13.09.2021.</v>
      </c>
      <c r="B14" s="24" t="str">
        <f t="shared" si="0"/>
        <v>GAS AVIAITON</v>
      </c>
      <c r="C14" s="25" t="s">
        <v>255</v>
      </c>
      <c r="D14" s="12" t="s">
        <v>215</v>
      </c>
      <c r="E14" s="7" t="s">
        <v>227</v>
      </c>
      <c r="F14" s="26" t="s">
        <v>214</v>
      </c>
      <c r="G14" s="15">
        <v>1156</v>
      </c>
      <c r="H14" s="12"/>
      <c r="I14" s="12"/>
      <c r="J14" s="8"/>
      <c r="K14" s="8">
        <v>0.63958333333333328</v>
      </c>
      <c r="L14" s="8"/>
      <c r="M14" s="9">
        <v>0.61805555555555558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1" x14ac:dyDescent="0.25">
      <c r="A15" s="24" t="str">
        <f t="shared" si="0"/>
        <v>13.09.2021.</v>
      </c>
      <c r="B15" s="24" t="str">
        <f t="shared" si="0"/>
        <v>GAS AVIAITON</v>
      </c>
      <c r="C15" s="25" t="s">
        <v>255</v>
      </c>
      <c r="D15" s="25" t="s">
        <v>215</v>
      </c>
      <c r="E15" s="7" t="s">
        <v>217</v>
      </c>
      <c r="F15" s="26" t="s">
        <v>214</v>
      </c>
      <c r="G15" s="15">
        <v>1025</v>
      </c>
      <c r="H15" s="12"/>
      <c r="I15" s="12"/>
      <c r="J15" s="8"/>
      <c r="K15" s="8">
        <v>0.65694444444444444</v>
      </c>
      <c r="L15" s="8"/>
      <c r="M15" s="9">
        <v>0.61944444444444446</v>
      </c>
      <c r="N15" s="12"/>
      <c r="O15" s="12"/>
    </row>
    <row r="20" spans="11:11" x14ac:dyDescent="0.25">
      <c r="K20" s="9"/>
    </row>
    <row r="21" spans="11:11" x14ac:dyDescent="0.25">
      <c r="K21" s="9"/>
    </row>
    <row r="22" spans="11:11" x14ac:dyDescent="0.25">
      <c r="K22" s="9"/>
    </row>
    <row r="23" spans="11:11" x14ac:dyDescent="0.25">
      <c r="K23" s="9"/>
    </row>
    <row r="24" spans="11:11" x14ac:dyDescent="0.25">
      <c r="K24" s="9"/>
    </row>
    <row r="25" spans="11:11" x14ac:dyDescent="0.25">
      <c r="K25" s="9"/>
    </row>
    <row r="26" spans="11:11" x14ac:dyDescent="0.25">
      <c r="K26" s="9"/>
    </row>
    <row r="27" spans="11:11" x14ac:dyDescent="0.25">
      <c r="K27" s="9"/>
    </row>
    <row r="28" spans="11:11" x14ac:dyDescent="0.25">
      <c r="K28" s="9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>
      <selection sqref="A1:XFD6"/>
    </sheetView>
  </sheetViews>
  <sheetFormatPr defaultRowHeight="12.75" x14ac:dyDescent="0.2"/>
  <cols>
    <col min="1" max="1" width="10.85546875" style="3" customWidth="1"/>
    <col min="2" max="2" width="13" style="3" customWidth="1"/>
    <col min="3" max="3" width="18.5703125" style="3" bestFit="1" customWidth="1"/>
    <col min="4" max="5" width="9.140625" style="3"/>
    <col min="6" max="6" width="12.140625" style="3" bestFit="1" customWidth="1"/>
    <col min="7" max="7" width="9.28515625" style="3" bestFit="1" customWidth="1"/>
    <col min="8" max="9" width="9.140625" style="3"/>
    <col min="10" max="11" width="9.28515625" style="3" bestFit="1" customWidth="1"/>
    <col min="12" max="12" width="9" style="3" customWidth="1"/>
    <col min="13" max="13" width="10.85546875" style="3" bestFit="1" customWidth="1"/>
    <col min="14" max="21" width="9.28515625" style="3" bestFit="1" customWidth="1"/>
    <col min="22" max="16384" width="9.140625" style="3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x14ac:dyDescent="0.2">
      <c r="A2" s="6">
        <v>44453</v>
      </c>
      <c r="B2" s="7" t="s">
        <v>259</v>
      </c>
      <c r="C2" s="7" t="s">
        <v>278</v>
      </c>
      <c r="D2" s="7" t="s">
        <v>260</v>
      </c>
      <c r="E2" s="7" t="s">
        <v>261</v>
      </c>
      <c r="F2" s="7" t="s">
        <v>262</v>
      </c>
      <c r="G2" s="7">
        <v>5800</v>
      </c>
      <c r="H2" s="9" t="s">
        <v>138</v>
      </c>
      <c r="I2" s="7" t="s">
        <v>277</v>
      </c>
      <c r="J2" s="8">
        <v>6.25E-2</v>
      </c>
      <c r="K2" s="9">
        <v>5.9027777777777783E-2</v>
      </c>
      <c r="L2" s="8">
        <v>0.70833333333333337</v>
      </c>
      <c r="M2" s="9">
        <v>0.75694444444444453</v>
      </c>
      <c r="N2" s="7">
        <v>1</v>
      </c>
      <c r="O2" s="7">
        <v>0</v>
      </c>
      <c r="P2" s="7" t="s">
        <v>138</v>
      </c>
      <c r="Q2" s="7" t="s">
        <v>138</v>
      </c>
      <c r="R2" s="7">
        <v>0</v>
      </c>
      <c r="S2" s="7">
        <v>0</v>
      </c>
      <c r="T2" s="7">
        <v>0</v>
      </c>
      <c r="U2" s="7">
        <v>0</v>
      </c>
    </row>
    <row r="3" spans="1:22" customFormat="1" ht="15" x14ac:dyDescent="0.25">
      <c r="A3" s="6">
        <v>44453</v>
      </c>
      <c r="B3" s="7" t="s">
        <v>20</v>
      </c>
      <c r="C3" s="7" t="s">
        <v>70</v>
      </c>
      <c r="D3" s="7" t="s">
        <v>21</v>
      </c>
      <c r="E3" s="7" t="s">
        <v>86</v>
      </c>
      <c r="F3" s="7" t="s">
        <v>22</v>
      </c>
      <c r="G3" s="7">
        <v>70000</v>
      </c>
      <c r="H3" s="7" t="s">
        <v>52</v>
      </c>
      <c r="I3" s="7" t="s">
        <v>53</v>
      </c>
      <c r="J3" s="8">
        <v>0.4513888888888889</v>
      </c>
      <c r="K3" s="9">
        <v>0.47361111111111115</v>
      </c>
      <c r="L3" s="8">
        <v>0.27777777777777779</v>
      </c>
      <c r="M3" s="9">
        <v>0.30972222222222223</v>
      </c>
      <c r="N3" s="7" t="s">
        <v>271</v>
      </c>
      <c r="O3" s="7" t="s">
        <v>270</v>
      </c>
      <c r="P3" s="7">
        <v>723</v>
      </c>
      <c r="Q3" s="7">
        <v>1045</v>
      </c>
      <c r="R3" s="7">
        <v>0</v>
      </c>
      <c r="S3" s="7">
        <v>0</v>
      </c>
      <c r="T3" s="7">
        <v>0</v>
      </c>
      <c r="U3" s="7">
        <v>0</v>
      </c>
    </row>
    <row r="4" spans="1:22" customFormat="1" ht="15" x14ac:dyDescent="0.25">
      <c r="A4" s="6">
        <v>44453</v>
      </c>
      <c r="B4" s="7" t="s">
        <v>20</v>
      </c>
      <c r="C4" s="7" t="s">
        <v>23</v>
      </c>
      <c r="D4" s="7" t="s">
        <v>21</v>
      </c>
      <c r="E4" s="7" t="s">
        <v>263</v>
      </c>
      <c r="F4" s="7" t="s">
        <v>22</v>
      </c>
      <c r="G4" s="7">
        <v>70000</v>
      </c>
      <c r="H4" s="7" t="s">
        <v>24</v>
      </c>
      <c r="I4" s="7" t="s">
        <v>25</v>
      </c>
      <c r="J4" s="8">
        <v>0.5625</v>
      </c>
      <c r="K4" s="9">
        <v>0.55138888888888882</v>
      </c>
      <c r="L4" s="8">
        <v>0.39583333333333331</v>
      </c>
      <c r="M4" s="9">
        <v>0.39861111111111108</v>
      </c>
      <c r="N4" s="7" t="s">
        <v>274</v>
      </c>
      <c r="O4" s="7" t="s">
        <v>272</v>
      </c>
      <c r="P4" s="7">
        <v>489</v>
      </c>
      <c r="Q4" s="7">
        <v>829</v>
      </c>
      <c r="R4" s="7">
        <v>0</v>
      </c>
      <c r="S4" s="7">
        <v>0</v>
      </c>
      <c r="T4" s="7">
        <v>0</v>
      </c>
      <c r="U4" s="7">
        <v>0</v>
      </c>
    </row>
    <row r="5" spans="1:22" customFormat="1" ht="15" x14ac:dyDescent="0.25">
      <c r="A5" s="6">
        <v>44453</v>
      </c>
      <c r="B5" s="7" t="s">
        <v>20</v>
      </c>
      <c r="C5" s="7" t="s">
        <v>69</v>
      </c>
      <c r="D5" s="7" t="s">
        <v>21</v>
      </c>
      <c r="E5" s="7" t="s">
        <v>86</v>
      </c>
      <c r="F5" s="7" t="s">
        <v>22</v>
      </c>
      <c r="G5" s="7">
        <v>70000</v>
      </c>
      <c r="H5" s="7" t="s">
        <v>54</v>
      </c>
      <c r="I5" s="7" t="s">
        <v>55</v>
      </c>
      <c r="J5" s="8">
        <v>0.6875</v>
      </c>
      <c r="K5" s="9">
        <v>0.70138888888888884</v>
      </c>
      <c r="L5" s="8">
        <v>0.4826388888888889</v>
      </c>
      <c r="M5" s="9">
        <v>0.50347222222222221</v>
      </c>
      <c r="N5" s="7" t="s">
        <v>276</v>
      </c>
      <c r="O5" s="7" t="s">
        <v>190</v>
      </c>
      <c r="P5" s="7">
        <v>434</v>
      </c>
      <c r="Q5" s="7">
        <v>680</v>
      </c>
      <c r="R5" s="7">
        <v>0</v>
      </c>
      <c r="S5" s="7">
        <v>0</v>
      </c>
      <c r="T5" s="7">
        <v>0</v>
      </c>
      <c r="U5" s="7">
        <v>0</v>
      </c>
    </row>
    <row r="6" spans="1:22" customFormat="1" ht="15" x14ac:dyDescent="0.25">
      <c r="A6" s="6">
        <v>44453</v>
      </c>
      <c r="B6" s="6" t="s">
        <v>20</v>
      </c>
      <c r="C6" s="7" t="s">
        <v>26</v>
      </c>
      <c r="D6" s="7" t="s">
        <v>21</v>
      </c>
      <c r="E6" s="7" t="s">
        <v>263</v>
      </c>
      <c r="F6" s="7" t="s">
        <v>22</v>
      </c>
      <c r="G6" s="7">
        <v>70000</v>
      </c>
      <c r="H6" s="7" t="s">
        <v>27</v>
      </c>
      <c r="I6" s="7" t="s">
        <v>28</v>
      </c>
      <c r="J6" s="8">
        <v>0.95486111111111116</v>
      </c>
      <c r="K6" s="9">
        <v>0.95486111111111116</v>
      </c>
      <c r="L6" s="8">
        <v>0.60069444444444442</v>
      </c>
      <c r="M6" s="9">
        <v>0.6166666666666667</v>
      </c>
      <c r="N6" s="7" t="s">
        <v>279</v>
      </c>
      <c r="O6" s="7" t="s">
        <v>275</v>
      </c>
      <c r="P6" s="7">
        <v>788</v>
      </c>
      <c r="Q6" s="7">
        <v>935</v>
      </c>
      <c r="R6" s="7">
        <v>0</v>
      </c>
      <c r="S6" s="7">
        <v>0</v>
      </c>
      <c r="T6" s="7">
        <v>0</v>
      </c>
      <c r="U6" s="7">
        <v>0</v>
      </c>
    </row>
    <row r="7" spans="1:22" customFormat="1" ht="15" x14ac:dyDescent="0.25">
      <c r="A7" s="6">
        <v>44453</v>
      </c>
      <c r="B7" s="7" t="s">
        <v>44</v>
      </c>
      <c r="C7" s="7" t="s">
        <v>45</v>
      </c>
      <c r="D7" s="7" t="s">
        <v>21</v>
      </c>
      <c r="E7" s="7" t="s">
        <v>264</v>
      </c>
      <c r="F7" s="7" t="s">
        <v>71</v>
      </c>
      <c r="G7" s="7">
        <v>77000</v>
      </c>
      <c r="H7" s="7" t="s">
        <v>47</v>
      </c>
      <c r="I7" s="7" t="s">
        <v>48</v>
      </c>
      <c r="J7" s="8">
        <v>0.3298611111111111</v>
      </c>
      <c r="K7" s="9">
        <v>0.31805555555555554</v>
      </c>
      <c r="L7" s="8">
        <v>0.37152777777777773</v>
      </c>
      <c r="M7" s="9">
        <v>0.34861111111111115</v>
      </c>
      <c r="N7" s="7" t="s">
        <v>273</v>
      </c>
      <c r="O7" s="7">
        <v>0</v>
      </c>
      <c r="P7" s="7">
        <v>2526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14"/>
    </row>
    <row r="8" spans="1:22" s="31" customFormat="1" x14ac:dyDescent="0.2">
      <c r="A8" s="28">
        <v>44453</v>
      </c>
      <c r="B8" s="29" t="s">
        <v>265</v>
      </c>
      <c r="C8" s="29" t="s">
        <v>266</v>
      </c>
      <c r="D8" s="29" t="s">
        <v>267</v>
      </c>
      <c r="E8" s="29" t="s">
        <v>268</v>
      </c>
      <c r="F8" s="29" t="s">
        <v>269</v>
      </c>
      <c r="G8" s="29">
        <v>3.1749999999999998</v>
      </c>
      <c r="H8" s="29" t="s">
        <v>138</v>
      </c>
      <c r="I8" s="29" t="s">
        <v>138</v>
      </c>
      <c r="J8" s="33">
        <v>0.40972222222222227</v>
      </c>
      <c r="K8" s="27">
        <v>0.42499999999999999</v>
      </c>
      <c r="L8" s="32">
        <v>0.4375</v>
      </c>
      <c r="M8" s="30">
        <v>0.44097222222222227</v>
      </c>
      <c r="N8" s="29">
        <v>0</v>
      </c>
      <c r="O8" s="7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</row>
    <row r="9" spans="1:22" x14ac:dyDescent="0.2">
      <c r="A9" s="6"/>
      <c r="B9" s="7"/>
      <c r="C9" s="7"/>
      <c r="D9" s="7"/>
      <c r="E9" s="7"/>
      <c r="F9" s="7"/>
      <c r="G9" s="7"/>
      <c r="H9" s="7"/>
      <c r="I9" s="7"/>
      <c r="J9" s="9"/>
      <c r="K9" s="5"/>
      <c r="L9" s="9"/>
      <c r="M9" s="9"/>
      <c r="N9" s="7"/>
      <c r="O9" s="7"/>
      <c r="P9" s="7"/>
      <c r="Q9" s="7"/>
      <c r="R9" s="7"/>
      <c r="S9" s="7"/>
      <c r="T9" s="7"/>
      <c r="U9" s="7"/>
    </row>
    <row r="10" spans="1:22" x14ac:dyDescent="0.2">
      <c r="A10" s="6"/>
      <c r="B10" s="7"/>
      <c r="C10" s="7"/>
      <c r="D10" s="7"/>
      <c r="E10" s="7"/>
      <c r="F10" s="7"/>
      <c r="G10" s="7"/>
      <c r="H10" s="7"/>
      <c r="I10" s="7"/>
      <c r="J10" s="5"/>
      <c r="K10" s="5"/>
      <c r="L10" s="5"/>
      <c r="M10" s="5"/>
      <c r="O10" s="7"/>
      <c r="Q10" s="7"/>
      <c r="R10" s="7"/>
      <c r="S10" s="7"/>
      <c r="T10" s="7"/>
      <c r="U10" s="7"/>
    </row>
    <row r="11" spans="1:22" x14ac:dyDescent="0.2">
      <c r="A11" s="2"/>
      <c r="L11" s="5"/>
      <c r="M11" s="5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opLeftCell="F1" workbookViewId="0">
      <selection sqref="A1:X5"/>
    </sheetView>
  </sheetViews>
  <sheetFormatPr defaultRowHeight="15" x14ac:dyDescent="0.25"/>
  <cols>
    <col min="1" max="1" width="8.42578125" customWidth="1"/>
    <col min="2" max="2" width="14.42578125" bestFit="1" customWidth="1"/>
    <col min="3" max="3" width="13.5703125" customWidth="1"/>
    <col min="5" max="5" width="12.5703125" bestFit="1" customWidth="1"/>
    <col min="6" max="6" width="12.140625" bestFit="1" customWidth="1"/>
    <col min="10" max="10" width="8.28515625" customWidth="1"/>
    <col min="11" max="11" width="10.85546875" bestFit="1" customWidth="1"/>
    <col min="12" max="12" width="9" customWidth="1"/>
    <col min="13" max="13" width="9.140625" customWidth="1"/>
    <col min="15" max="15" width="8.7109375" customWidth="1"/>
    <col min="16" max="16" width="8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6">
        <v>44454</v>
      </c>
      <c r="B2" s="7" t="s">
        <v>172</v>
      </c>
      <c r="C2" s="7" t="s">
        <v>61</v>
      </c>
      <c r="D2" s="7" t="s">
        <v>21</v>
      </c>
      <c r="E2" s="7" t="s">
        <v>86</v>
      </c>
      <c r="F2" s="7" t="s">
        <v>22</v>
      </c>
      <c r="G2" s="7">
        <v>70000</v>
      </c>
      <c r="H2" s="7" t="s">
        <v>65</v>
      </c>
      <c r="I2" s="7" t="s">
        <v>121</v>
      </c>
      <c r="J2" s="8">
        <v>0.48958333333333331</v>
      </c>
      <c r="K2" s="9">
        <v>0.47013888888888888</v>
      </c>
      <c r="L2" s="8">
        <v>0.25694444444444448</v>
      </c>
      <c r="M2" s="5">
        <v>0.25555555555555559</v>
      </c>
      <c r="N2" s="7" t="s">
        <v>281</v>
      </c>
      <c r="O2" s="7" t="s">
        <v>280</v>
      </c>
      <c r="P2" s="7">
        <v>299</v>
      </c>
      <c r="Q2" s="7">
        <v>249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6">
        <v>44454</v>
      </c>
      <c r="B3" s="7" t="s">
        <v>172</v>
      </c>
      <c r="C3" s="7" t="s">
        <v>35</v>
      </c>
      <c r="D3" s="7" t="s">
        <v>21</v>
      </c>
      <c r="E3" s="7" t="s">
        <v>263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0.89236111111111116</v>
      </c>
      <c r="K3" s="9">
        <v>0.88611111111111107</v>
      </c>
      <c r="L3" s="8">
        <v>0.47569444444444442</v>
      </c>
      <c r="M3" s="5">
        <v>0.48402777777777778</v>
      </c>
      <c r="N3" s="7" t="s">
        <v>102</v>
      </c>
      <c r="O3" s="3" t="s">
        <v>282</v>
      </c>
      <c r="P3" s="3">
        <v>720</v>
      </c>
      <c r="Q3" s="3">
        <v>954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ht="13.5" customHeight="1" x14ac:dyDescent="0.25">
      <c r="A4" s="6">
        <v>44454</v>
      </c>
      <c r="B4" s="7" t="s">
        <v>172</v>
      </c>
      <c r="C4" s="7" t="s">
        <v>32</v>
      </c>
      <c r="D4" s="7" t="s">
        <v>21</v>
      </c>
      <c r="E4" s="7" t="s">
        <v>86</v>
      </c>
      <c r="F4" s="7" t="s">
        <v>22</v>
      </c>
      <c r="G4" s="7">
        <v>70000</v>
      </c>
      <c r="H4" s="7" t="s">
        <v>33</v>
      </c>
      <c r="I4" s="7" t="s">
        <v>34</v>
      </c>
      <c r="J4" s="4">
        <v>0.71875</v>
      </c>
      <c r="K4" s="5">
        <v>0.70416666666666661</v>
      </c>
      <c r="L4" s="4">
        <v>0.51736111111111105</v>
      </c>
      <c r="M4" s="5">
        <v>0.51458333333333328</v>
      </c>
      <c r="N4" s="3" t="s">
        <v>284</v>
      </c>
      <c r="O4" s="3" t="s">
        <v>283</v>
      </c>
      <c r="P4" s="3">
        <v>457</v>
      </c>
      <c r="Q4" s="3">
        <v>803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s="3" customFormat="1" ht="15" customHeight="1" x14ac:dyDescent="0.2">
      <c r="A5" s="6">
        <v>44454</v>
      </c>
      <c r="B5" s="7" t="s">
        <v>172</v>
      </c>
      <c r="C5" s="7" t="s">
        <v>41</v>
      </c>
      <c r="D5" s="7" t="s">
        <v>21</v>
      </c>
      <c r="E5" s="7" t="s">
        <v>86</v>
      </c>
      <c r="F5" s="7" t="s">
        <v>22</v>
      </c>
      <c r="G5" s="7">
        <v>70000</v>
      </c>
      <c r="H5" s="7" t="s">
        <v>42</v>
      </c>
      <c r="I5" s="7" t="s">
        <v>43</v>
      </c>
      <c r="J5" s="4">
        <v>0.92013888888888884</v>
      </c>
      <c r="K5" s="5">
        <v>0.91666666666666663</v>
      </c>
      <c r="L5" s="4">
        <v>0.73958333333333337</v>
      </c>
      <c r="M5" s="5">
        <v>0.75347222222222221</v>
      </c>
      <c r="N5" s="3" t="s">
        <v>286</v>
      </c>
      <c r="O5" s="3" t="s">
        <v>285</v>
      </c>
      <c r="P5" s="3">
        <v>330</v>
      </c>
      <c r="Q5" s="3">
        <v>922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6">
        <v>44454</v>
      </c>
      <c r="B6" s="25" t="s">
        <v>212</v>
      </c>
      <c r="C6" s="25" t="s">
        <v>255</v>
      </c>
      <c r="D6" s="25" t="s">
        <v>213</v>
      </c>
      <c r="E6" s="25" t="s">
        <v>223</v>
      </c>
      <c r="F6" s="26" t="s">
        <v>214</v>
      </c>
      <c r="G6" s="15">
        <v>1315</v>
      </c>
      <c r="H6" s="26" t="str">
        <f>E6</f>
        <v>YUDZZ</v>
      </c>
      <c r="I6" s="26" t="str">
        <f>H6</f>
        <v>YUDZZ</v>
      </c>
      <c r="J6" s="8" t="s">
        <v>138</v>
      </c>
      <c r="K6" s="9">
        <v>0.45833333333333331</v>
      </c>
      <c r="L6" s="8" t="s">
        <v>138</v>
      </c>
      <c r="M6" s="9">
        <v>0.35347222222222219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</row>
    <row r="7" spans="1:24" x14ac:dyDescent="0.25">
      <c r="A7" s="6">
        <v>44454</v>
      </c>
      <c r="B7" s="25" t="s">
        <v>212</v>
      </c>
      <c r="C7" s="25" t="s">
        <v>255</v>
      </c>
      <c r="D7" s="25" t="s">
        <v>215</v>
      </c>
      <c r="E7" s="25" t="s">
        <v>231</v>
      </c>
      <c r="F7" s="26" t="s">
        <v>214</v>
      </c>
      <c r="G7" s="15">
        <v>1156</v>
      </c>
      <c r="H7" s="26" t="str">
        <f t="shared" ref="H7:H13" si="0">E7</f>
        <v>YUDTT</v>
      </c>
      <c r="I7" s="26" t="str">
        <f t="shared" ref="I7:I13" si="1">H7</f>
        <v>YUDTT</v>
      </c>
      <c r="J7" s="8" t="s">
        <v>138</v>
      </c>
      <c r="K7" s="9">
        <v>0.46597222222222223</v>
      </c>
      <c r="L7" s="8" t="s">
        <v>138</v>
      </c>
      <c r="M7" s="9">
        <v>0.35555555555555557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4" x14ac:dyDescent="0.25">
      <c r="A8" s="6">
        <v>44454</v>
      </c>
      <c r="B8" s="25" t="s">
        <v>212</v>
      </c>
      <c r="C8" s="25" t="s">
        <v>255</v>
      </c>
      <c r="D8" s="7" t="s">
        <v>225</v>
      </c>
      <c r="E8" s="7" t="s">
        <v>219</v>
      </c>
      <c r="F8" s="26" t="s">
        <v>214</v>
      </c>
      <c r="G8" s="15">
        <v>2200</v>
      </c>
      <c r="H8" s="26" t="str">
        <f t="shared" si="0"/>
        <v>YUBZV</v>
      </c>
      <c r="I8" s="26" t="str">
        <f t="shared" si="1"/>
        <v>YUBZV</v>
      </c>
      <c r="J8" s="8" t="s">
        <v>138</v>
      </c>
      <c r="K8" s="9">
        <v>0.47430555555555554</v>
      </c>
      <c r="L8" s="8" t="s">
        <v>138</v>
      </c>
      <c r="M8" s="9">
        <v>0.35694444444444445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4" x14ac:dyDescent="0.25">
      <c r="A9" s="6">
        <v>44454</v>
      </c>
      <c r="B9" s="25" t="s">
        <v>212</v>
      </c>
      <c r="C9" s="25" t="s">
        <v>255</v>
      </c>
      <c r="D9" s="25" t="s">
        <v>213</v>
      </c>
      <c r="E9" s="25" t="s">
        <v>226</v>
      </c>
      <c r="F9" s="26" t="s">
        <v>214</v>
      </c>
      <c r="G9" s="15">
        <v>1315</v>
      </c>
      <c r="H9" s="26" t="str">
        <f t="shared" si="0"/>
        <v>YUDEM</v>
      </c>
      <c r="I9" s="26" t="str">
        <f t="shared" si="1"/>
        <v>YUDEM</v>
      </c>
      <c r="J9" s="8" t="s">
        <v>138</v>
      </c>
      <c r="K9" s="9">
        <v>0.4777777777777778</v>
      </c>
      <c r="L9" s="8" t="s">
        <v>138</v>
      </c>
      <c r="M9" s="9">
        <v>0.3576388888888889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4" x14ac:dyDescent="0.25">
      <c r="A10" s="6">
        <v>44454</v>
      </c>
      <c r="B10" s="25" t="s">
        <v>212</v>
      </c>
      <c r="C10" s="25" t="s">
        <v>255</v>
      </c>
      <c r="D10" s="25" t="s">
        <v>215</v>
      </c>
      <c r="E10" s="25" t="s">
        <v>224</v>
      </c>
      <c r="F10" s="26" t="s">
        <v>214</v>
      </c>
      <c r="G10" s="15">
        <v>1025</v>
      </c>
      <c r="H10" s="26" t="str">
        <f t="shared" si="0"/>
        <v>YUDPT</v>
      </c>
      <c r="I10" s="26" t="str">
        <f t="shared" si="1"/>
        <v>YUDPT</v>
      </c>
      <c r="J10" s="8" t="s">
        <v>138</v>
      </c>
      <c r="K10" s="9">
        <v>0.45694444444444443</v>
      </c>
      <c r="L10" s="8" t="s">
        <v>138</v>
      </c>
      <c r="M10" s="9">
        <v>0.35902777777777778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4" x14ac:dyDescent="0.25">
      <c r="A11" s="6">
        <v>44454</v>
      </c>
      <c r="B11" s="25" t="s">
        <v>212</v>
      </c>
      <c r="C11" s="25" t="s">
        <v>255</v>
      </c>
      <c r="D11" s="7" t="s">
        <v>218</v>
      </c>
      <c r="E11" s="7" t="s">
        <v>216</v>
      </c>
      <c r="F11" s="26" t="s">
        <v>214</v>
      </c>
      <c r="G11" s="15">
        <v>1633</v>
      </c>
      <c r="H11" s="26" t="str">
        <f t="shared" si="0"/>
        <v>YUDPS</v>
      </c>
      <c r="I11" s="26" t="str">
        <f t="shared" si="1"/>
        <v>YUDPS</v>
      </c>
      <c r="J11" s="8" t="s">
        <v>138</v>
      </c>
      <c r="K11" s="9">
        <v>0.44930555555555557</v>
      </c>
      <c r="L11" s="8" t="s">
        <v>138</v>
      </c>
      <c r="M11" s="9">
        <v>0.35972222222222222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</row>
    <row r="12" spans="1:24" x14ac:dyDescent="0.25">
      <c r="A12" s="6">
        <v>44454</v>
      </c>
      <c r="B12" s="25" t="s">
        <v>212</v>
      </c>
      <c r="C12" s="25" t="s">
        <v>255</v>
      </c>
      <c r="D12" s="7" t="s">
        <v>220</v>
      </c>
      <c r="E12" s="7" t="s">
        <v>217</v>
      </c>
      <c r="F12" s="26" t="s">
        <v>214</v>
      </c>
      <c r="G12" s="15">
        <v>1633</v>
      </c>
      <c r="H12" s="26" t="str">
        <f t="shared" si="0"/>
        <v>YUFLY</v>
      </c>
      <c r="I12" s="26" t="str">
        <f t="shared" si="1"/>
        <v>YUFLY</v>
      </c>
      <c r="J12" s="8" t="s">
        <v>138</v>
      </c>
      <c r="K12" s="9">
        <v>0.47569444444444442</v>
      </c>
      <c r="L12" s="8" t="s">
        <v>138</v>
      </c>
      <c r="M12" s="9">
        <v>0.36041666666666666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4" x14ac:dyDescent="0.25">
      <c r="A13" s="6">
        <v>44454</v>
      </c>
      <c r="B13" s="24" t="str">
        <f t="shared" ref="B13" si="2">B12</f>
        <v>GAS AVIAITON</v>
      </c>
      <c r="C13" s="25" t="s">
        <v>255</v>
      </c>
      <c r="D13" s="12" t="s">
        <v>215</v>
      </c>
      <c r="E13" s="7" t="s">
        <v>221</v>
      </c>
      <c r="F13" s="26" t="s">
        <v>214</v>
      </c>
      <c r="G13" s="15">
        <v>1156</v>
      </c>
      <c r="H13" s="26" t="str">
        <f t="shared" si="0"/>
        <v>YUDNZ</v>
      </c>
      <c r="I13" s="26" t="str">
        <f t="shared" si="1"/>
        <v>YUDNZ</v>
      </c>
      <c r="J13" s="8" t="s">
        <v>138</v>
      </c>
      <c r="K13" s="9">
        <v>0.48541666666666666</v>
      </c>
      <c r="L13" s="8" t="s">
        <v>138</v>
      </c>
      <c r="M13" s="9">
        <v>0.37291666666666662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</row>
    <row r="14" spans="1:24" x14ac:dyDescent="0.25">
      <c r="A14" s="6">
        <v>44454</v>
      </c>
      <c r="B14" s="25" t="s">
        <v>212</v>
      </c>
      <c r="C14" s="25" t="s">
        <v>255</v>
      </c>
      <c r="D14" s="25" t="s">
        <v>213</v>
      </c>
      <c r="E14" s="25" t="s">
        <v>223</v>
      </c>
      <c r="F14" s="26" t="s">
        <v>214</v>
      </c>
      <c r="G14" s="15">
        <v>1315</v>
      </c>
      <c r="H14" s="26" t="str">
        <f>E14</f>
        <v>YUDZZ</v>
      </c>
      <c r="I14" s="26" t="str">
        <f>H14</f>
        <v>YUDZZ</v>
      </c>
      <c r="J14" s="8" t="s">
        <v>138</v>
      </c>
      <c r="K14" s="9"/>
      <c r="L14" s="8" t="s">
        <v>138</v>
      </c>
      <c r="M14" s="9">
        <v>0.55277777777777781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4" x14ac:dyDescent="0.25">
      <c r="A15" s="6">
        <v>44454</v>
      </c>
      <c r="B15" s="25" t="s">
        <v>212</v>
      </c>
      <c r="C15" s="25" t="s">
        <v>255</v>
      </c>
      <c r="D15" s="25" t="s">
        <v>215</v>
      </c>
      <c r="E15" s="25" t="s">
        <v>231</v>
      </c>
      <c r="F15" s="26" t="s">
        <v>214</v>
      </c>
      <c r="G15" s="15">
        <v>1156</v>
      </c>
      <c r="H15" s="26" t="str">
        <f t="shared" ref="H15:H21" si="3">E15</f>
        <v>YUDTT</v>
      </c>
      <c r="I15" s="26" t="str">
        <f t="shared" ref="I15:I21" si="4">H15</f>
        <v>YUDTT</v>
      </c>
      <c r="J15" s="8" t="s">
        <v>138</v>
      </c>
      <c r="K15" s="9"/>
      <c r="L15" s="8" t="s">
        <v>138</v>
      </c>
      <c r="M15" s="9">
        <v>0.5541666666666667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4" x14ac:dyDescent="0.25">
      <c r="A16" s="6">
        <v>44454</v>
      </c>
      <c r="B16" s="25" t="s">
        <v>212</v>
      </c>
      <c r="C16" s="25" t="s">
        <v>255</v>
      </c>
      <c r="D16" s="7" t="s">
        <v>225</v>
      </c>
      <c r="E16" s="7" t="s">
        <v>219</v>
      </c>
      <c r="F16" s="26" t="s">
        <v>214</v>
      </c>
      <c r="G16" s="15">
        <v>2200</v>
      </c>
      <c r="H16" s="26" t="str">
        <f t="shared" si="3"/>
        <v>YUBZV</v>
      </c>
      <c r="I16" s="26" t="str">
        <f t="shared" si="4"/>
        <v>YUBZV</v>
      </c>
      <c r="J16" s="8" t="s">
        <v>138</v>
      </c>
      <c r="K16" s="9"/>
      <c r="L16" s="8" t="s">
        <v>138</v>
      </c>
      <c r="M16" s="9">
        <v>0.55486111111111114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  <row r="17" spans="1:21" x14ac:dyDescent="0.25">
      <c r="A17" s="6">
        <v>44454</v>
      </c>
      <c r="B17" s="25" t="s">
        <v>212</v>
      </c>
      <c r="C17" s="25" t="s">
        <v>255</v>
      </c>
      <c r="D17" s="25" t="s">
        <v>213</v>
      </c>
      <c r="E17" s="25" t="s">
        <v>221</v>
      </c>
      <c r="F17" s="26" t="s">
        <v>214</v>
      </c>
      <c r="G17" s="15">
        <v>1315</v>
      </c>
      <c r="H17" s="26" t="str">
        <f t="shared" si="3"/>
        <v>YUDNZ</v>
      </c>
      <c r="I17" s="26" t="str">
        <f t="shared" si="4"/>
        <v>YUDNZ</v>
      </c>
      <c r="J17" s="8" t="s">
        <v>138</v>
      </c>
      <c r="K17" s="9"/>
      <c r="L17" s="8" t="s">
        <v>138</v>
      </c>
      <c r="M17" s="9">
        <v>0.55555555555555558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</row>
    <row r="18" spans="1:21" x14ac:dyDescent="0.25">
      <c r="A18" s="6">
        <v>44454</v>
      </c>
      <c r="B18" s="25" t="s">
        <v>212</v>
      </c>
      <c r="C18" s="25" t="s">
        <v>255</v>
      </c>
      <c r="D18" s="25" t="s">
        <v>215</v>
      </c>
      <c r="E18" s="25" t="s">
        <v>226</v>
      </c>
      <c r="F18" s="26" t="s">
        <v>214</v>
      </c>
      <c r="G18" s="15">
        <v>1025</v>
      </c>
      <c r="H18" s="26" t="str">
        <f t="shared" si="3"/>
        <v>YUDEM</v>
      </c>
      <c r="I18" s="26" t="str">
        <f t="shared" si="4"/>
        <v>YUDEM</v>
      </c>
      <c r="J18" s="8" t="s">
        <v>138</v>
      </c>
      <c r="K18" s="9"/>
      <c r="L18" s="8" t="s">
        <v>138</v>
      </c>
      <c r="M18" s="9">
        <v>0.55694444444444446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x14ac:dyDescent="0.25">
      <c r="A19" s="6">
        <v>44454</v>
      </c>
      <c r="B19" s="25" t="s">
        <v>212</v>
      </c>
      <c r="C19" s="25" t="s">
        <v>255</v>
      </c>
      <c r="D19" s="7" t="s">
        <v>218</v>
      </c>
      <c r="E19" s="7" t="s">
        <v>224</v>
      </c>
      <c r="F19" s="26" t="s">
        <v>214</v>
      </c>
      <c r="G19" s="15">
        <v>1633</v>
      </c>
      <c r="H19" s="26" t="str">
        <f t="shared" si="3"/>
        <v>YUDPT</v>
      </c>
      <c r="I19" s="26" t="str">
        <f t="shared" si="4"/>
        <v>YUDPT</v>
      </c>
      <c r="J19" s="8" t="s">
        <v>138</v>
      </c>
      <c r="K19" s="9"/>
      <c r="L19" s="8" t="s">
        <v>138</v>
      </c>
      <c r="M19" s="9">
        <v>0.55763888888888891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x14ac:dyDescent="0.25">
      <c r="A20" s="6">
        <v>44454</v>
      </c>
      <c r="B20" s="25" t="s">
        <v>212</v>
      </c>
      <c r="C20" s="25" t="s">
        <v>255</v>
      </c>
      <c r="D20" s="7" t="s">
        <v>220</v>
      </c>
      <c r="E20" s="7" t="s">
        <v>216</v>
      </c>
      <c r="F20" s="26" t="s">
        <v>214</v>
      </c>
      <c r="G20" s="15">
        <v>1633</v>
      </c>
      <c r="H20" s="26" t="str">
        <f t="shared" si="3"/>
        <v>YUDPS</v>
      </c>
      <c r="I20" s="26" t="str">
        <f t="shared" si="4"/>
        <v>YUDPS</v>
      </c>
      <c r="J20" s="8" t="s">
        <v>138</v>
      </c>
      <c r="K20" s="9"/>
      <c r="L20" s="8" t="s">
        <v>138</v>
      </c>
      <c r="M20" s="9">
        <v>0.55833333333333335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1" x14ac:dyDescent="0.25">
      <c r="A21" s="6">
        <v>44454</v>
      </c>
      <c r="B21" s="24" t="str">
        <f t="shared" ref="B21" si="5">B20</f>
        <v>GAS AVIAITON</v>
      </c>
      <c r="C21" s="25" t="s">
        <v>255</v>
      </c>
      <c r="D21" s="12" t="s">
        <v>215</v>
      </c>
      <c r="E21" s="7" t="s">
        <v>217</v>
      </c>
      <c r="F21" s="26" t="s">
        <v>214</v>
      </c>
      <c r="G21" s="15">
        <v>1156</v>
      </c>
      <c r="H21" s="26" t="str">
        <f t="shared" si="3"/>
        <v>YUFLY</v>
      </c>
      <c r="I21" s="26" t="str">
        <f t="shared" si="4"/>
        <v>YUFLY</v>
      </c>
      <c r="J21" s="8" t="s">
        <v>138</v>
      </c>
      <c r="K21" s="9"/>
      <c r="L21" s="8" t="s">
        <v>138</v>
      </c>
      <c r="M21" s="9">
        <v>0.55972222222222223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opLeftCell="E1" zoomScaleNormal="100" workbookViewId="0">
      <selection activeCell="L32" sqref="L32"/>
    </sheetView>
  </sheetViews>
  <sheetFormatPr defaultRowHeight="15" x14ac:dyDescent="0.25"/>
  <cols>
    <col min="2" max="2" width="17.140625" customWidth="1"/>
    <col min="3" max="3" width="14.42578125" customWidth="1"/>
    <col min="5" max="5" width="12.42578125" bestFit="1" customWidth="1"/>
    <col min="6" max="6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44455</v>
      </c>
      <c r="B2" s="7" t="s">
        <v>20</v>
      </c>
      <c r="C2" s="7" t="s">
        <v>23</v>
      </c>
      <c r="D2" s="7" t="s">
        <v>21</v>
      </c>
      <c r="E2" s="7" t="s">
        <v>298</v>
      </c>
      <c r="F2" s="7" t="s">
        <v>22</v>
      </c>
      <c r="G2" s="7">
        <v>70000</v>
      </c>
      <c r="H2" s="7" t="s">
        <v>24</v>
      </c>
      <c r="I2" s="7" t="s">
        <v>25</v>
      </c>
      <c r="J2" s="8">
        <v>0.67013888888888884</v>
      </c>
      <c r="K2" s="9">
        <v>0.67291666666666661</v>
      </c>
      <c r="L2" s="8">
        <v>0.27083333333333331</v>
      </c>
      <c r="M2" s="9">
        <v>0.26805555555555555</v>
      </c>
      <c r="N2" s="7" t="s">
        <v>292</v>
      </c>
      <c r="O2" s="7" t="s">
        <v>288</v>
      </c>
      <c r="P2" s="7">
        <v>578</v>
      </c>
      <c r="Q2" s="7">
        <v>369</v>
      </c>
      <c r="R2" s="7">
        <v>0</v>
      </c>
      <c r="S2" s="7">
        <v>0</v>
      </c>
      <c r="T2" s="7">
        <v>0</v>
      </c>
      <c r="U2" s="7">
        <v>0</v>
      </c>
    </row>
    <row r="3" spans="1:21" x14ac:dyDescent="0.25">
      <c r="A3" s="6">
        <v>44455</v>
      </c>
      <c r="B3" s="7" t="s">
        <v>20</v>
      </c>
      <c r="C3" s="7" t="s">
        <v>69</v>
      </c>
      <c r="D3" s="7" t="s">
        <v>21</v>
      </c>
      <c r="E3" s="7" t="s">
        <v>263</v>
      </c>
      <c r="F3" s="7" t="s">
        <v>22</v>
      </c>
      <c r="G3" s="7">
        <v>70000</v>
      </c>
      <c r="H3" s="7" t="s">
        <v>54</v>
      </c>
      <c r="I3" s="7" t="s">
        <v>55</v>
      </c>
      <c r="J3" s="8">
        <v>0.67361111111111116</v>
      </c>
      <c r="K3" s="9">
        <v>0.66527777777777775</v>
      </c>
      <c r="L3" s="8">
        <v>0.46875</v>
      </c>
      <c r="M3" s="9">
        <v>0.46597222222222223</v>
      </c>
      <c r="N3" s="7" t="s">
        <v>293</v>
      </c>
      <c r="O3" s="7" t="s">
        <v>289</v>
      </c>
      <c r="P3" s="7">
        <v>261</v>
      </c>
      <c r="Q3" s="7">
        <v>351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>
        <v>44455</v>
      </c>
      <c r="B4" s="3" t="s">
        <v>87</v>
      </c>
      <c r="C4" s="3" t="s">
        <v>62</v>
      </c>
      <c r="D4" s="3" t="s">
        <v>21</v>
      </c>
      <c r="E4" s="3" t="str">
        <f>E3</f>
        <v>HA-LWK</v>
      </c>
      <c r="F4" s="3" t="s">
        <v>22</v>
      </c>
      <c r="G4" s="10">
        <v>70000</v>
      </c>
      <c r="H4" s="3" t="s">
        <v>64</v>
      </c>
      <c r="I4" s="3" t="s">
        <v>63</v>
      </c>
      <c r="J4" s="4">
        <v>0.90972222222222221</v>
      </c>
      <c r="K4" s="5">
        <v>0.91875000000000007</v>
      </c>
      <c r="L4" s="4">
        <v>0.69444444444444453</v>
      </c>
      <c r="M4" s="5">
        <v>0.70138888888888884</v>
      </c>
      <c r="N4" s="3" t="s">
        <v>296</v>
      </c>
      <c r="O4" s="3" t="s">
        <v>294</v>
      </c>
      <c r="P4" s="3">
        <v>331</v>
      </c>
      <c r="Q4" s="3">
        <v>620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>
        <v>44455</v>
      </c>
      <c r="B5" s="6" t="s">
        <v>20</v>
      </c>
      <c r="C5" s="7" t="s">
        <v>29</v>
      </c>
      <c r="D5" s="7" t="s">
        <v>21</v>
      </c>
      <c r="E5" s="7" t="s">
        <v>287</v>
      </c>
      <c r="F5" s="7" t="s">
        <v>22</v>
      </c>
      <c r="G5" s="7">
        <v>70000</v>
      </c>
      <c r="H5" s="7" t="s">
        <v>30</v>
      </c>
      <c r="I5" s="7" t="s">
        <v>31</v>
      </c>
      <c r="J5" s="8">
        <v>0.90277777777777779</v>
      </c>
      <c r="K5" s="9">
        <v>0.9</v>
      </c>
      <c r="L5" s="8">
        <v>0.70833333333333337</v>
      </c>
      <c r="M5" s="9">
        <v>0.72499999999999998</v>
      </c>
      <c r="N5" s="7" t="s">
        <v>297</v>
      </c>
      <c r="O5" s="3" t="s">
        <v>295</v>
      </c>
      <c r="P5" s="7">
        <v>593</v>
      </c>
      <c r="Q5" s="7">
        <v>592</v>
      </c>
      <c r="R5" s="7">
        <v>0</v>
      </c>
      <c r="S5" s="7">
        <v>0</v>
      </c>
      <c r="T5" s="7">
        <v>0</v>
      </c>
      <c r="U5" s="7">
        <v>0</v>
      </c>
    </row>
    <row r="6" spans="1:21" x14ac:dyDescent="0.25">
      <c r="A6" s="6">
        <v>44455</v>
      </c>
      <c r="B6" s="25" t="s">
        <v>212</v>
      </c>
      <c r="C6" s="25" t="s">
        <v>255</v>
      </c>
      <c r="D6" s="25" t="s">
        <v>213</v>
      </c>
      <c r="E6" s="25" t="s">
        <v>223</v>
      </c>
      <c r="F6" s="26" t="s">
        <v>291</v>
      </c>
      <c r="G6" s="15">
        <v>1315</v>
      </c>
      <c r="H6" s="26" t="str">
        <f>E6</f>
        <v>YUDZZ</v>
      </c>
      <c r="I6" s="26" t="str">
        <f>H6</f>
        <v>YUDZZ</v>
      </c>
      <c r="J6" s="8" t="s">
        <v>138</v>
      </c>
      <c r="K6" s="9">
        <v>0.46388888888888885</v>
      </c>
      <c r="L6" s="8" t="s">
        <v>138</v>
      </c>
      <c r="M6" s="9">
        <v>0.36180555555555555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</row>
    <row r="7" spans="1:21" x14ac:dyDescent="0.25">
      <c r="A7" s="6">
        <v>44455</v>
      </c>
      <c r="B7" s="25" t="s">
        <v>212</v>
      </c>
      <c r="C7" s="25" t="s">
        <v>255</v>
      </c>
      <c r="D7" s="25" t="s">
        <v>215</v>
      </c>
      <c r="E7" s="25" t="s">
        <v>231</v>
      </c>
      <c r="F7" s="26" t="s">
        <v>291</v>
      </c>
      <c r="G7" s="15">
        <v>1156</v>
      </c>
      <c r="H7" s="26" t="str">
        <f t="shared" ref="H7:H13" si="0">E7</f>
        <v>YUDTT</v>
      </c>
      <c r="I7" s="26" t="str">
        <f t="shared" ref="I7:I13" si="1">H7</f>
        <v>YUDTT</v>
      </c>
      <c r="J7" s="8" t="s">
        <v>138</v>
      </c>
      <c r="K7" s="9">
        <v>0.4680555555555555</v>
      </c>
      <c r="L7" s="8" t="s">
        <v>138</v>
      </c>
      <c r="M7" s="9">
        <v>0.36388888888888887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1" x14ac:dyDescent="0.25">
      <c r="A8" s="6">
        <v>44455</v>
      </c>
      <c r="B8" s="25" t="s">
        <v>212</v>
      </c>
      <c r="C8" s="25" t="s">
        <v>255</v>
      </c>
      <c r="D8" s="7" t="s">
        <v>225</v>
      </c>
      <c r="E8" s="7" t="s">
        <v>219</v>
      </c>
      <c r="F8" s="26" t="s">
        <v>291</v>
      </c>
      <c r="G8" s="15">
        <v>2200</v>
      </c>
      <c r="H8" s="26" t="str">
        <f t="shared" si="0"/>
        <v>YUBZV</v>
      </c>
      <c r="I8" s="26" t="str">
        <f t="shared" si="1"/>
        <v>YUBZV</v>
      </c>
      <c r="J8" s="8" t="s">
        <v>138</v>
      </c>
      <c r="K8" s="9">
        <v>0.47916666666666669</v>
      </c>
      <c r="L8" s="8" t="s">
        <v>138</v>
      </c>
      <c r="M8" s="9">
        <v>0.3659722222222222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1" x14ac:dyDescent="0.25">
      <c r="A9" s="6">
        <v>44455</v>
      </c>
      <c r="B9" s="25" t="s">
        <v>212</v>
      </c>
      <c r="C9" s="25" t="s">
        <v>255</v>
      </c>
      <c r="D9" s="25" t="s">
        <v>213</v>
      </c>
      <c r="E9" s="25" t="s">
        <v>226</v>
      </c>
      <c r="F9" s="26" t="s">
        <v>291</v>
      </c>
      <c r="G9" s="15">
        <v>1315</v>
      </c>
      <c r="H9" s="26" t="str">
        <f t="shared" si="0"/>
        <v>YUDEM</v>
      </c>
      <c r="I9" s="26" t="str">
        <f t="shared" si="1"/>
        <v>YUDEM</v>
      </c>
      <c r="J9" s="8" t="s">
        <v>138</v>
      </c>
      <c r="K9" s="9">
        <v>0.49444444444444446</v>
      </c>
      <c r="L9" s="8" t="s">
        <v>138</v>
      </c>
      <c r="M9" s="9">
        <v>0.38680555555555557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1" x14ac:dyDescent="0.25">
      <c r="A10" s="6">
        <v>44455</v>
      </c>
      <c r="B10" s="25" t="s">
        <v>212</v>
      </c>
      <c r="C10" s="25" t="s">
        <v>255</v>
      </c>
      <c r="D10" s="25" t="s">
        <v>215</v>
      </c>
      <c r="E10" s="25" t="s">
        <v>224</v>
      </c>
      <c r="F10" s="26" t="s">
        <v>291</v>
      </c>
      <c r="G10" s="15">
        <v>1025</v>
      </c>
      <c r="H10" s="26" t="str">
        <f t="shared" si="0"/>
        <v>YUDPT</v>
      </c>
      <c r="I10" s="26" t="str">
        <f t="shared" si="1"/>
        <v>YUDPT</v>
      </c>
      <c r="J10" s="8" t="s">
        <v>138</v>
      </c>
      <c r="K10" s="9">
        <v>0.46875</v>
      </c>
      <c r="L10" s="8" t="s">
        <v>138</v>
      </c>
      <c r="M10" s="9">
        <v>0.36805555555555558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1" x14ac:dyDescent="0.25">
      <c r="A11" s="6">
        <v>44455</v>
      </c>
      <c r="B11" s="25" t="s">
        <v>212</v>
      </c>
      <c r="C11" s="25" t="s">
        <v>255</v>
      </c>
      <c r="D11" s="7" t="s">
        <v>218</v>
      </c>
      <c r="E11" s="7" t="s">
        <v>216</v>
      </c>
      <c r="F11" s="26" t="s">
        <v>291</v>
      </c>
      <c r="G11" s="15">
        <v>1633</v>
      </c>
      <c r="H11" s="26" t="str">
        <f t="shared" si="0"/>
        <v>YUDPS</v>
      </c>
      <c r="I11" s="26" t="str">
        <f t="shared" si="1"/>
        <v>YUDPS</v>
      </c>
      <c r="J11" s="8" t="s">
        <v>138</v>
      </c>
      <c r="K11" s="9">
        <v>0.46666666666666662</v>
      </c>
      <c r="L11" s="8" t="s">
        <v>138</v>
      </c>
      <c r="M11" s="9">
        <v>0.36874999999999997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</row>
    <row r="12" spans="1:21" x14ac:dyDescent="0.25">
      <c r="A12" s="6">
        <v>44455</v>
      </c>
      <c r="B12" s="25" t="s">
        <v>212</v>
      </c>
      <c r="C12" s="25" t="s">
        <v>255</v>
      </c>
      <c r="D12" s="7" t="s">
        <v>220</v>
      </c>
      <c r="E12" s="7" t="s">
        <v>227</v>
      </c>
      <c r="F12" s="26" t="s">
        <v>291</v>
      </c>
      <c r="G12" s="15">
        <v>1633</v>
      </c>
      <c r="H12" s="26" t="s">
        <v>227</v>
      </c>
      <c r="I12" s="26" t="s">
        <v>227</v>
      </c>
      <c r="J12" s="8"/>
      <c r="K12" s="9">
        <v>0.48402777777777778</v>
      </c>
      <c r="L12" s="8" t="s">
        <v>138</v>
      </c>
      <c r="M12" s="9">
        <v>0.36944444444444446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1" x14ac:dyDescent="0.25">
      <c r="A13" s="6">
        <v>44455</v>
      </c>
      <c r="B13" s="24" t="str">
        <f t="shared" ref="B13" si="2">B12</f>
        <v>GAS AVIAITON</v>
      </c>
      <c r="C13" s="25" t="s">
        <v>255</v>
      </c>
      <c r="D13" s="12" t="s">
        <v>215</v>
      </c>
      <c r="E13" s="7" t="s">
        <v>221</v>
      </c>
      <c r="F13" s="26" t="s">
        <v>291</v>
      </c>
      <c r="G13" s="15">
        <v>1156</v>
      </c>
      <c r="H13" s="26" t="str">
        <f t="shared" si="0"/>
        <v>YUDNZ</v>
      </c>
      <c r="I13" s="26" t="str">
        <f t="shared" si="1"/>
        <v>YUDNZ</v>
      </c>
      <c r="J13" s="8" t="s">
        <v>138</v>
      </c>
      <c r="K13" s="9">
        <v>0.47847222222222219</v>
      </c>
      <c r="L13" s="8" t="s">
        <v>138</v>
      </c>
      <c r="M13" s="9">
        <v>0.3666666666666667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</row>
    <row r="14" spans="1:21" x14ac:dyDescent="0.25">
      <c r="A14" s="6">
        <v>44455</v>
      </c>
      <c r="B14" s="24" t="s">
        <v>290</v>
      </c>
      <c r="C14" s="25" t="s">
        <v>255</v>
      </c>
      <c r="D14" s="12" t="s">
        <v>215</v>
      </c>
      <c r="E14" s="7" t="s">
        <v>217</v>
      </c>
      <c r="F14" s="26" t="s">
        <v>291</v>
      </c>
      <c r="G14" s="15">
        <v>1156</v>
      </c>
      <c r="H14" s="26" t="str">
        <f t="shared" ref="H14" si="3">E14</f>
        <v>YUFLY</v>
      </c>
      <c r="I14" s="26" t="str">
        <f t="shared" ref="I14" si="4">H14</f>
        <v>YUFLY</v>
      </c>
      <c r="J14" s="8" t="s">
        <v>138</v>
      </c>
      <c r="K14" s="9">
        <v>0.47986111111111113</v>
      </c>
      <c r="L14" s="8" t="s">
        <v>138</v>
      </c>
      <c r="M14" s="9">
        <v>0.37083333333333335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/>
    </row>
    <row r="15" spans="1:21" x14ac:dyDescent="0.25">
      <c r="A15" s="6"/>
      <c r="B15" s="24"/>
      <c r="C15" s="25"/>
      <c r="D15" s="12"/>
      <c r="E15" s="7"/>
      <c r="F15" s="26" t="s">
        <v>291</v>
      </c>
      <c r="G15" s="15"/>
      <c r="H15" s="26"/>
      <c r="I15" s="26"/>
      <c r="J15" s="8"/>
      <c r="K15" s="9"/>
      <c r="L15" s="8"/>
      <c r="M15" s="9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F16" s="26" t="s">
        <v>291</v>
      </c>
    </row>
    <row r="17" spans="1:21" x14ac:dyDescent="0.25">
      <c r="A17" s="6">
        <v>44455</v>
      </c>
      <c r="B17" s="25" t="s">
        <v>212</v>
      </c>
      <c r="C17" s="25" t="s">
        <v>255</v>
      </c>
      <c r="D17" s="25" t="s">
        <v>213</v>
      </c>
      <c r="E17" s="25" t="s">
        <v>223</v>
      </c>
      <c r="F17" s="26" t="s">
        <v>291</v>
      </c>
      <c r="G17" s="15">
        <v>1315</v>
      </c>
      <c r="H17" s="26" t="str">
        <f>E17</f>
        <v>YUDZZ</v>
      </c>
      <c r="I17" s="26" t="str">
        <f>H17</f>
        <v>YUDZZ</v>
      </c>
      <c r="J17" s="8" t="s">
        <v>138</v>
      </c>
      <c r="K17" s="9">
        <v>0.63541666666666663</v>
      </c>
      <c r="L17" s="8" t="s">
        <v>138</v>
      </c>
      <c r="M17" s="9">
        <v>0.53819444444444442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</row>
    <row r="18" spans="1:21" x14ac:dyDescent="0.25">
      <c r="A18" s="6">
        <v>44455</v>
      </c>
      <c r="B18" s="25" t="s">
        <v>212</v>
      </c>
      <c r="C18" s="25" t="s">
        <v>255</v>
      </c>
      <c r="D18" s="25" t="s">
        <v>215</v>
      </c>
      <c r="E18" s="25" t="s">
        <v>231</v>
      </c>
      <c r="F18" s="26" t="s">
        <v>291</v>
      </c>
      <c r="G18" s="15">
        <v>1156</v>
      </c>
      <c r="H18" s="26" t="str">
        <f t="shared" ref="H18:H22" si="5">E18</f>
        <v>YUDTT</v>
      </c>
      <c r="I18" s="26" t="str">
        <f t="shared" ref="I18:I22" si="6">H18</f>
        <v>YUDTT</v>
      </c>
      <c r="J18" s="8" t="s">
        <v>138</v>
      </c>
      <c r="K18" s="9">
        <v>0.63124999999999998</v>
      </c>
      <c r="L18" s="8" t="s">
        <v>138</v>
      </c>
      <c r="M18" s="9">
        <v>0.54027777777777775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x14ac:dyDescent="0.25">
      <c r="A19" s="6">
        <v>44455</v>
      </c>
      <c r="B19" s="25" t="s">
        <v>212</v>
      </c>
      <c r="C19" s="25" t="s">
        <v>255</v>
      </c>
      <c r="D19" s="7" t="s">
        <v>225</v>
      </c>
      <c r="E19" s="7" t="s">
        <v>219</v>
      </c>
      <c r="F19" s="26" t="s">
        <v>291</v>
      </c>
      <c r="G19" s="15">
        <v>2200</v>
      </c>
      <c r="H19" s="26" t="str">
        <f t="shared" si="5"/>
        <v>YUBZV</v>
      </c>
      <c r="I19" s="26" t="str">
        <f t="shared" si="6"/>
        <v>YUBZV</v>
      </c>
      <c r="J19" s="8" t="s">
        <v>138</v>
      </c>
      <c r="K19" s="9">
        <v>0.63541666666666663</v>
      </c>
      <c r="L19" s="8" t="s">
        <v>138</v>
      </c>
      <c r="M19" s="9">
        <v>0.5395833333333333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x14ac:dyDescent="0.25">
      <c r="A20" s="6">
        <v>44455</v>
      </c>
      <c r="B20" s="25" t="s">
        <v>212</v>
      </c>
      <c r="C20" s="25" t="s">
        <v>255</v>
      </c>
      <c r="D20" s="25" t="s">
        <v>213</v>
      </c>
      <c r="E20" s="25" t="s">
        <v>226</v>
      </c>
      <c r="F20" s="26" t="s">
        <v>291</v>
      </c>
      <c r="G20" s="15">
        <v>1315</v>
      </c>
      <c r="H20" s="26" t="str">
        <f t="shared" si="5"/>
        <v>YUDEM</v>
      </c>
      <c r="I20" s="26" t="str">
        <f t="shared" si="6"/>
        <v>YUDEM</v>
      </c>
      <c r="J20" s="8" t="s">
        <v>138</v>
      </c>
      <c r="K20" s="9">
        <v>0.63888888888888895</v>
      </c>
      <c r="L20" s="8" t="s">
        <v>138</v>
      </c>
      <c r="M20" s="9">
        <v>0.54166666666666663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1" x14ac:dyDescent="0.25">
      <c r="A21" s="6">
        <v>44455</v>
      </c>
      <c r="B21" s="25" t="s">
        <v>212</v>
      </c>
      <c r="C21" s="25" t="s">
        <v>255</v>
      </c>
      <c r="D21" s="25" t="s">
        <v>215</v>
      </c>
      <c r="E21" s="25" t="s">
        <v>224</v>
      </c>
      <c r="F21" s="26" t="s">
        <v>291</v>
      </c>
      <c r="G21" s="15">
        <v>1025</v>
      </c>
      <c r="H21" s="26" t="str">
        <f t="shared" si="5"/>
        <v>YUDPT</v>
      </c>
      <c r="I21" s="26" t="str">
        <f t="shared" si="6"/>
        <v>YUDPT</v>
      </c>
      <c r="J21" s="8" t="s">
        <v>138</v>
      </c>
      <c r="K21" s="9">
        <v>0.64027777777777783</v>
      </c>
      <c r="L21" s="8" t="s">
        <v>138</v>
      </c>
      <c r="M21" s="9">
        <v>0.54375000000000007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x14ac:dyDescent="0.25">
      <c r="A22" s="6">
        <v>44455</v>
      </c>
      <c r="B22" s="25" t="s">
        <v>212</v>
      </c>
      <c r="C22" s="25" t="s">
        <v>255</v>
      </c>
      <c r="D22" s="7" t="s">
        <v>218</v>
      </c>
      <c r="E22" s="7" t="s">
        <v>216</v>
      </c>
      <c r="F22" s="26" t="s">
        <v>291</v>
      </c>
      <c r="G22" s="15">
        <v>1633</v>
      </c>
      <c r="H22" s="26" t="str">
        <f t="shared" si="5"/>
        <v>YUDPS</v>
      </c>
      <c r="I22" s="26" t="str">
        <f t="shared" si="6"/>
        <v>YUDPS</v>
      </c>
      <c r="J22" s="8" t="s">
        <v>138</v>
      </c>
      <c r="K22" s="9">
        <v>0.64166666666666672</v>
      </c>
      <c r="L22" s="8" t="s">
        <v>138</v>
      </c>
      <c r="M22" s="9">
        <v>0.54513888888888895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1" x14ac:dyDescent="0.25">
      <c r="A23" s="6">
        <v>44455</v>
      </c>
      <c r="B23" s="25" t="s">
        <v>212</v>
      </c>
      <c r="C23" s="25" t="s">
        <v>255</v>
      </c>
      <c r="D23" s="7" t="s">
        <v>220</v>
      </c>
      <c r="E23" s="7" t="s">
        <v>227</v>
      </c>
      <c r="F23" s="26" t="s">
        <v>291</v>
      </c>
      <c r="G23" s="15">
        <v>1633</v>
      </c>
      <c r="H23" s="26" t="s">
        <v>227</v>
      </c>
      <c r="I23" s="26" t="s">
        <v>227</v>
      </c>
      <c r="J23" s="8"/>
      <c r="K23" s="9">
        <v>0.6430555555555556</v>
      </c>
      <c r="L23" s="8" t="s">
        <v>138</v>
      </c>
      <c r="M23" s="9">
        <v>0.54583333333333328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</row>
    <row r="24" spans="1:21" x14ac:dyDescent="0.25">
      <c r="A24" s="6">
        <v>44455</v>
      </c>
      <c r="B24" s="24" t="str">
        <f t="shared" ref="B24" si="7">B23</f>
        <v>GAS AVIAITON</v>
      </c>
      <c r="C24" s="25" t="s">
        <v>255</v>
      </c>
      <c r="D24" s="12" t="s">
        <v>215</v>
      </c>
      <c r="E24" s="7" t="s">
        <v>221</v>
      </c>
      <c r="F24" s="26" t="s">
        <v>291</v>
      </c>
      <c r="G24" s="15">
        <v>1156</v>
      </c>
      <c r="H24" s="26" t="str">
        <f t="shared" ref="H24:H25" si="8">E24</f>
        <v>YUDNZ</v>
      </c>
      <c r="I24" s="26" t="str">
        <f t="shared" ref="I24:I25" si="9">H24</f>
        <v>YUDNZ</v>
      </c>
      <c r="J24" s="8" t="s">
        <v>138</v>
      </c>
      <c r="K24" s="9">
        <v>0.64583333333333337</v>
      </c>
      <c r="L24" s="8" t="s">
        <v>138</v>
      </c>
      <c r="M24" s="9">
        <v>0.54097222222222219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</row>
    <row r="25" spans="1:21" x14ac:dyDescent="0.25">
      <c r="A25" s="6">
        <v>44455</v>
      </c>
      <c r="B25" s="24" t="s">
        <v>290</v>
      </c>
      <c r="C25" s="25" t="s">
        <v>255</v>
      </c>
      <c r="D25" s="12" t="s">
        <v>215</v>
      </c>
      <c r="E25" s="7" t="s">
        <v>217</v>
      </c>
      <c r="F25" s="26" t="s">
        <v>291</v>
      </c>
      <c r="G25" s="15">
        <v>1156</v>
      </c>
      <c r="H25" s="26" t="str">
        <f t="shared" si="8"/>
        <v>YUFLY</v>
      </c>
      <c r="I25" s="26" t="str">
        <f t="shared" si="9"/>
        <v>YUFLY</v>
      </c>
      <c r="J25" s="8" t="s">
        <v>138</v>
      </c>
      <c r="K25" s="9">
        <v>0.64722222222222225</v>
      </c>
      <c r="L25" s="8" t="s">
        <v>138</v>
      </c>
      <c r="M25" s="9">
        <v>0.54305555555555551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/>
    </row>
    <row r="26" spans="1:21" x14ac:dyDescent="0.25">
      <c r="A26" s="6"/>
      <c r="B26" s="24"/>
      <c r="C26" s="25"/>
      <c r="D26" s="12"/>
      <c r="E26" s="7"/>
      <c r="F26" s="26"/>
      <c r="G26" s="15"/>
      <c r="H26" s="26"/>
      <c r="I26" s="26"/>
      <c r="J26" s="8"/>
      <c r="K26" s="9"/>
      <c r="L26" s="8"/>
      <c r="M26" s="9"/>
      <c r="N26" s="7"/>
      <c r="O26" s="7"/>
      <c r="P26" s="7"/>
      <c r="Q26" s="7"/>
      <c r="R26" s="7"/>
      <c r="S26" s="7"/>
      <c r="T26" s="7"/>
      <c r="U26" s="7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sqref="A1:XFD6"/>
    </sheetView>
  </sheetViews>
  <sheetFormatPr defaultRowHeight="15" x14ac:dyDescent="0.25"/>
  <cols>
    <col min="2" max="2" width="13.42578125" customWidth="1"/>
    <col min="3" max="3" width="13.5703125" bestFit="1" customWidth="1"/>
    <col min="5" max="5" width="1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44456</v>
      </c>
      <c r="B2" s="7" t="s">
        <v>20</v>
      </c>
      <c r="C2" s="7" t="s">
        <v>32</v>
      </c>
      <c r="D2" s="7" t="s">
        <v>21</v>
      </c>
      <c r="E2" s="7" t="s">
        <v>287</v>
      </c>
      <c r="F2" s="7" t="s">
        <v>22</v>
      </c>
      <c r="G2" s="7">
        <v>70000</v>
      </c>
      <c r="H2" s="7" t="s">
        <v>33</v>
      </c>
      <c r="I2" s="7" t="s">
        <v>34</v>
      </c>
      <c r="J2" s="8">
        <v>0.45833333333333331</v>
      </c>
      <c r="K2" s="9">
        <v>0.45069444444444445</v>
      </c>
      <c r="L2" s="8">
        <v>0.25694444444444448</v>
      </c>
      <c r="M2" s="9">
        <v>0.25763888888888892</v>
      </c>
      <c r="N2" s="7" t="s">
        <v>301</v>
      </c>
      <c r="O2" s="7" t="s">
        <v>299</v>
      </c>
      <c r="P2" s="7">
        <v>439</v>
      </c>
      <c r="Q2" s="7">
        <v>706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6">
        <v>44456</v>
      </c>
      <c r="B3" s="6" t="s">
        <v>20</v>
      </c>
      <c r="C3" s="7" t="s">
        <v>35</v>
      </c>
      <c r="D3" s="7" t="s">
        <v>21</v>
      </c>
      <c r="E3" s="7" t="s">
        <v>263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0.4861111111111111</v>
      </c>
      <c r="K3" s="9">
        <v>0.4770833333333333</v>
      </c>
      <c r="L3" s="8">
        <v>0.29166666666666669</v>
      </c>
      <c r="M3" s="9">
        <v>0.29652777777777778</v>
      </c>
      <c r="N3" s="7" t="s">
        <v>302</v>
      </c>
      <c r="O3" s="7" t="s">
        <v>300</v>
      </c>
      <c r="P3" s="7">
        <v>760</v>
      </c>
      <c r="Q3" s="7">
        <v>1092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>
        <v>44456</v>
      </c>
      <c r="B4" s="7" t="s">
        <v>20</v>
      </c>
      <c r="C4" s="7" t="s">
        <v>38</v>
      </c>
      <c r="D4" s="7" t="s">
        <v>21</v>
      </c>
      <c r="E4" s="7" t="s">
        <v>287</v>
      </c>
      <c r="F4" s="7" t="s">
        <v>22</v>
      </c>
      <c r="G4" s="7">
        <v>70000</v>
      </c>
      <c r="H4" s="7" t="s">
        <v>39</v>
      </c>
      <c r="I4" s="7" t="s">
        <v>40</v>
      </c>
      <c r="J4" s="8">
        <v>0.71875</v>
      </c>
      <c r="K4" s="9">
        <v>0.70763888888888893</v>
      </c>
      <c r="L4" s="8">
        <v>0.48958333333333331</v>
      </c>
      <c r="M4" s="9">
        <v>0.49027777777777781</v>
      </c>
      <c r="N4" s="7" t="s">
        <v>131</v>
      </c>
      <c r="O4" s="7" t="s">
        <v>303</v>
      </c>
      <c r="P4" s="7">
        <v>479</v>
      </c>
      <c r="Q4" s="7">
        <v>889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>
        <v>44456</v>
      </c>
      <c r="B5" s="7" t="s">
        <v>20</v>
      </c>
      <c r="C5" s="7" t="s">
        <v>49</v>
      </c>
      <c r="D5" s="7" t="s">
        <v>21</v>
      </c>
      <c r="E5" s="7" t="s">
        <v>263</v>
      </c>
      <c r="F5" s="7" t="s">
        <v>22</v>
      </c>
      <c r="G5" s="7">
        <v>70000</v>
      </c>
      <c r="H5" s="7" t="s">
        <v>50</v>
      </c>
      <c r="I5" s="7" t="s">
        <v>51</v>
      </c>
      <c r="J5" s="8">
        <v>0.67361111111111116</v>
      </c>
      <c r="K5" s="9">
        <v>0.68333333333333324</v>
      </c>
      <c r="L5" s="8">
        <v>0.50694444444444442</v>
      </c>
      <c r="M5" s="9">
        <v>0.51736111111111105</v>
      </c>
      <c r="N5" s="7" t="s">
        <v>305</v>
      </c>
      <c r="O5" s="7" t="s">
        <v>304</v>
      </c>
      <c r="P5" s="7">
        <v>671</v>
      </c>
      <c r="Q5" s="7">
        <v>1102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>
        <v>44456</v>
      </c>
      <c r="B6" s="7" t="s">
        <v>20</v>
      </c>
      <c r="C6" s="7" t="s">
        <v>41</v>
      </c>
      <c r="D6" s="7" t="s">
        <v>21</v>
      </c>
      <c r="E6" s="7" t="s">
        <v>287</v>
      </c>
      <c r="F6" s="7" t="s">
        <v>22</v>
      </c>
      <c r="G6" s="7">
        <v>70000</v>
      </c>
      <c r="H6" s="7" t="s">
        <v>42</v>
      </c>
      <c r="I6" s="7" t="s">
        <v>43</v>
      </c>
      <c r="J6" s="4">
        <v>0.92013888888888884</v>
      </c>
      <c r="K6" s="9">
        <v>0.92152777777777783</v>
      </c>
      <c r="L6" s="4">
        <v>0.73958333333333337</v>
      </c>
      <c r="M6" s="5">
        <v>0.75</v>
      </c>
      <c r="N6" s="3" t="s">
        <v>307</v>
      </c>
      <c r="O6" s="3" t="s">
        <v>306</v>
      </c>
      <c r="P6" s="3">
        <v>953</v>
      </c>
      <c r="Q6" s="3">
        <v>965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6">
        <v>44456</v>
      </c>
      <c r="B7" s="25" t="s">
        <v>212</v>
      </c>
      <c r="C7" s="25" t="s">
        <v>255</v>
      </c>
      <c r="D7" s="25" t="s">
        <v>213</v>
      </c>
      <c r="E7" s="25" t="s">
        <v>223</v>
      </c>
      <c r="F7" s="26" t="s">
        <v>291</v>
      </c>
      <c r="G7" s="15">
        <v>1315</v>
      </c>
      <c r="H7" s="26" t="str">
        <f>E7</f>
        <v>YUDZZ</v>
      </c>
      <c r="I7" s="26" t="str">
        <f>H7</f>
        <v>YUDZZ</v>
      </c>
      <c r="J7" s="8" t="s">
        <v>138</v>
      </c>
      <c r="K7" s="9">
        <v>0.40833333333333338</v>
      </c>
      <c r="L7" s="8" t="s">
        <v>138</v>
      </c>
      <c r="M7" s="9">
        <v>0.39999999999999997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1" x14ac:dyDescent="0.25">
      <c r="A8" s="6">
        <v>44456</v>
      </c>
      <c r="B8" s="25" t="s">
        <v>212</v>
      </c>
      <c r="C8" s="25" t="s">
        <v>255</v>
      </c>
      <c r="D8" s="25" t="s">
        <v>215</v>
      </c>
      <c r="E8" s="25" t="s">
        <v>231</v>
      </c>
      <c r="F8" s="26" t="s">
        <v>291</v>
      </c>
      <c r="G8" s="15">
        <v>1156</v>
      </c>
      <c r="H8" s="26" t="str">
        <f t="shared" ref="H8:H15" si="0">E8</f>
        <v>YUDTT</v>
      </c>
      <c r="I8" s="26" t="str">
        <f t="shared" ref="I8:I15" si="1">H8</f>
        <v>YUDTT</v>
      </c>
      <c r="J8" s="8" t="s">
        <v>138</v>
      </c>
      <c r="K8" s="9">
        <v>0.46666666666666662</v>
      </c>
      <c r="L8" s="8" t="s">
        <v>138</v>
      </c>
      <c r="M8" s="9">
        <v>0.35694444444444445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1" x14ac:dyDescent="0.25">
      <c r="A9" s="6">
        <v>44456</v>
      </c>
      <c r="B9" s="25" t="s">
        <v>212</v>
      </c>
      <c r="C9" s="25" t="s">
        <v>255</v>
      </c>
      <c r="D9" s="7" t="s">
        <v>225</v>
      </c>
      <c r="E9" s="7" t="s">
        <v>219</v>
      </c>
      <c r="F9" s="26" t="s">
        <v>291</v>
      </c>
      <c r="G9" s="15">
        <v>2200</v>
      </c>
      <c r="H9" s="26" t="str">
        <f t="shared" si="0"/>
        <v>YUBZV</v>
      </c>
      <c r="I9" s="26" t="str">
        <f t="shared" si="1"/>
        <v>YUBZV</v>
      </c>
      <c r="J9" s="8" t="s">
        <v>138</v>
      </c>
      <c r="K9" s="9">
        <v>0.47083333333333338</v>
      </c>
      <c r="L9" s="8" t="s">
        <v>138</v>
      </c>
      <c r="M9" s="9">
        <v>0.3576388888888889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1" x14ac:dyDescent="0.25">
      <c r="A10" s="6">
        <v>44456</v>
      </c>
      <c r="B10" s="25" t="s">
        <v>212</v>
      </c>
      <c r="C10" s="25" t="s">
        <v>255</v>
      </c>
      <c r="D10" s="25" t="s">
        <v>213</v>
      </c>
      <c r="E10" s="25" t="s">
        <v>226</v>
      </c>
      <c r="F10" s="26" t="s">
        <v>291</v>
      </c>
      <c r="G10" s="15">
        <v>1315</v>
      </c>
      <c r="H10" s="26" t="str">
        <f t="shared" si="0"/>
        <v>YUDEM</v>
      </c>
      <c r="I10" s="26" t="str">
        <f t="shared" si="1"/>
        <v>YUDEM</v>
      </c>
      <c r="J10" s="8" t="s">
        <v>138</v>
      </c>
      <c r="K10" s="9">
        <v>0.47847222222222219</v>
      </c>
      <c r="L10" s="8" t="s">
        <v>138</v>
      </c>
      <c r="M10" s="9">
        <v>0.35833333333333334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1" x14ac:dyDescent="0.25">
      <c r="A11" s="6">
        <v>44456</v>
      </c>
      <c r="B11" s="25" t="s">
        <v>212</v>
      </c>
      <c r="C11" s="25" t="s">
        <v>255</v>
      </c>
      <c r="D11" s="25" t="s">
        <v>215</v>
      </c>
      <c r="E11" s="25" t="s">
        <v>224</v>
      </c>
      <c r="F11" s="26" t="s">
        <v>291</v>
      </c>
      <c r="G11" s="15">
        <v>1025</v>
      </c>
      <c r="H11" s="26" t="str">
        <f t="shared" si="0"/>
        <v>YUDPT</v>
      </c>
      <c r="I11" s="26" t="str">
        <f t="shared" si="1"/>
        <v>YUDPT</v>
      </c>
      <c r="J11" s="8" t="s">
        <v>138</v>
      </c>
      <c r="K11" s="9">
        <v>0.48958333333333331</v>
      </c>
      <c r="L11" s="8" t="s">
        <v>138</v>
      </c>
      <c r="M11" s="9">
        <v>0.35902777777777778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</row>
    <row r="12" spans="1:21" x14ac:dyDescent="0.25">
      <c r="A12" s="6">
        <v>44456</v>
      </c>
      <c r="B12" s="25" t="s">
        <v>212</v>
      </c>
      <c r="C12" s="25" t="s">
        <v>255</v>
      </c>
      <c r="D12" s="7" t="s">
        <v>218</v>
      </c>
      <c r="E12" s="7" t="s">
        <v>216</v>
      </c>
      <c r="F12" s="26" t="s">
        <v>291</v>
      </c>
      <c r="G12" s="15">
        <v>1633</v>
      </c>
      <c r="H12" s="26" t="str">
        <f t="shared" si="0"/>
        <v>YUDPS</v>
      </c>
      <c r="I12" s="26" t="str">
        <f t="shared" si="1"/>
        <v>YUDPS</v>
      </c>
      <c r="J12" s="8" t="s">
        <v>138</v>
      </c>
      <c r="K12" s="9">
        <v>0.45833333333333331</v>
      </c>
      <c r="L12" s="8" t="s">
        <v>138</v>
      </c>
      <c r="M12" s="9">
        <v>0.35972222222222222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1" x14ac:dyDescent="0.25">
      <c r="A13" s="6">
        <v>44456</v>
      </c>
      <c r="B13" s="25" t="s">
        <v>212</v>
      </c>
      <c r="C13" s="25" t="s">
        <v>255</v>
      </c>
      <c r="D13" s="7" t="s">
        <v>220</v>
      </c>
      <c r="E13" s="7" t="s">
        <v>227</v>
      </c>
      <c r="F13" s="26" t="s">
        <v>291</v>
      </c>
      <c r="G13" s="15">
        <v>1633</v>
      </c>
      <c r="H13" s="26" t="s">
        <v>227</v>
      </c>
      <c r="I13" s="26" t="s">
        <v>227</v>
      </c>
      <c r="J13" s="8"/>
      <c r="K13" s="9">
        <v>0.4548611111111111</v>
      </c>
      <c r="L13" s="8" t="s">
        <v>138</v>
      </c>
      <c r="M13" s="9">
        <v>0.36041666666666666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</row>
    <row r="14" spans="1:21" x14ac:dyDescent="0.25">
      <c r="A14" s="6">
        <v>44456</v>
      </c>
      <c r="B14" s="24" t="str">
        <f t="shared" ref="B14" si="2">B13</f>
        <v>GAS AVIAITON</v>
      </c>
      <c r="C14" s="25" t="s">
        <v>255</v>
      </c>
      <c r="D14" s="12" t="s">
        <v>215</v>
      </c>
      <c r="E14" s="7" t="s">
        <v>221</v>
      </c>
      <c r="F14" s="26" t="s">
        <v>291</v>
      </c>
      <c r="G14" s="15">
        <v>1156</v>
      </c>
      <c r="H14" s="26" t="str">
        <f t="shared" si="0"/>
        <v>YUDNZ</v>
      </c>
      <c r="I14" s="26" t="str">
        <f t="shared" si="1"/>
        <v>YUDNZ</v>
      </c>
      <c r="J14" s="8" t="s">
        <v>138</v>
      </c>
      <c r="K14" s="9">
        <v>0.43402777777777773</v>
      </c>
      <c r="L14" s="8" t="s">
        <v>138</v>
      </c>
      <c r="M14" s="9">
        <v>0.36319444444444443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1" x14ac:dyDescent="0.25">
      <c r="A15" s="6">
        <v>44456</v>
      </c>
      <c r="B15" s="24" t="s">
        <v>290</v>
      </c>
      <c r="C15" s="25" t="s">
        <v>255</v>
      </c>
      <c r="D15" s="12" t="s">
        <v>215</v>
      </c>
      <c r="E15" s="7" t="s">
        <v>217</v>
      </c>
      <c r="F15" s="26" t="s">
        <v>291</v>
      </c>
      <c r="G15" s="15">
        <v>1156</v>
      </c>
      <c r="H15" s="26" t="str">
        <f t="shared" si="0"/>
        <v>YUFLY</v>
      </c>
      <c r="I15" s="26" t="str">
        <f t="shared" si="1"/>
        <v>YUFLY</v>
      </c>
      <c r="J15" s="8" t="s">
        <v>138</v>
      </c>
      <c r="K15" s="9">
        <v>0.49236111111111108</v>
      </c>
      <c r="L15" s="8" t="s">
        <v>138</v>
      </c>
      <c r="M15" s="9">
        <v>0.3611111111111111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/>
    </row>
    <row r="16" spans="1:21" x14ac:dyDescent="0.25">
      <c r="A16" s="6">
        <v>44456</v>
      </c>
      <c r="B16" s="25" t="s">
        <v>212</v>
      </c>
      <c r="C16" s="25" t="s">
        <v>255</v>
      </c>
      <c r="D16" s="25" t="s">
        <v>213</v>
      </c>
      <c r="E16" s="25" t="s">
        <v>223</v>
      </c>
      <c r="F16" s="26" t="s">
        <v>291</v>
      </c>
      <c r="G16" s="15">
        <v>1315</v>
      </c>
      <c r="H16" s="26" t="str">
        <f>E16</f>
        <v>YUDZZ</v>
      </c>
      <c r="I16" s="26" t="str">
        <f>H16</f>
        <v>YUDZZ</v>
      </c>
      <c r="J16" s="8" t="s">
        <v>138</v>
      </c>
      <c r="K16" s="9">
        <v>0.53263888888888888</v>
      </c>
      <c r="L16" s="8" t="s">
        <v>138</v>
      </c>
      <c r="M16" s="9">
        <v>0.42986111111111108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>
      <selection activeCell="A8" sqref="A8:XFD16"/>
    </sheetView>
  </sheetViews>
  <sheetFormatPr defaultRowHeight="15" x14ac:dyDescent="0.25"/>
  <cols>
    <col min="1" max="1" width="10.140625" bestFit="1" customWidth="1"/>
    <col min="2" max="2" width="13.28515625" customWidth="1"/>
    <col min="3" max="3" width="14" customWidth="1"/>
    <col min="4" max="4" width="9.5703125" customWidth="1"/>
    <col min="5" max="5" width="10" customWidth="1"/>
    <col min="6" max="6" width="13" customWidth="1"/>
    <col min="8" max="8" width="10.85546875" customWidth="1"/>
    <col min="9" max="9" width="10.5703125" customWidth="1"/>
    <col min="14" max="14" width="10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x14ac:dyDescent="0.25">
      <c r="A2" s="6">
        <v>44457</v>
      </c>
      <c r="B2" s="7" t="s">
        <v>20</v>
      </c>
      <c r="C2" s="7" t="s">
        <v>66</v>
      </c>
      <c r="D2" s="7" t="s">
        <v>21</v>
      </c>
      <c r="E2" s="7" t="s">
        <v>263</v>
      </c>
      <c r="F2" s="7" t="s">
        <v>22</v>
      </c>
      <c r="G2" s="7">
        <v>70000</v>
      </c>
      <c r="H2" s="7" t="s">
        <v>67</v>
      </c>
      <c r="I2" s="7" t="s">
        <v>68</v>
      </c>
      <c r="J2" s="8">
        <v>0.375</v>
      </c>
      <c r="K2" s="9">
        <v>0.39097222222222222</v>
      </c>
      <c r="L2" s="8">
        <v>0.25694444444444448</v>
      </c>
      <c r="M2" s="9">
        <v>0.26805555555555555</v>
      </c>
      <c r="N2" s="7" t="s">
        <v>310</v>
      </c>
      <c r="O2" s="7" t="s">
        <v>308</v>
      </c>
      <c r="P2" s="7">
        <v>564</v>
      </c>
      <c r="Q2" s="7">
        <v>655</v>
      </c>
      <c r="R2" s="7">
        <v>0</v>
      </c>
      <c r="S2" s="7">
        <v>0</v>
      </c>
      <c r="T2" s="7">
        <v>0</v>
      </c>
      <c r="U2" s="7"/>
    </row>
    <row r="3" spans="1:21" x14ac:dyDescent="0.25">
      <c r="A3" s="6">
        <v>44457</v>
      </c>
      <c r="B3" s="7" t="s">
        <v>20</v>
      </c>
      <c r="C3" s="7" t="s">
        <v>70</v>
      </c>
      <c r="D3" s="7" t="s">
        <v>21</v>
      </c>
      <c r="E3" s="7" t="s">
        <v>287</v>
      </c>
      <c r="F3" s="7" t="s">
        <v>22</v>
      </c>
      <c r="G3" s="7">
        <v>70000</v>
      </c>
      <c r="H3" s="7" t="s">
        <v>52</v>
      </c>
      <c r="I3" s="7" t="s">
        <v>53</v>
      </c>
      <c r="J3" s="8">
        <v>0.4375</v>
      </c>
      <c r="K3" s="9">
        <v>0.46111111111111108</v>
      </c>
      <c r="L3" s="8">
        <v>0.2638888888888889</v>
      </c>
      <c r="M3" s="9">
        <v>0.28611111111111115</v>
      </c>
      <c r="N3" s="7" t="s">
        <v>312</v>
      </c>
      <c r="O3" s="7" t="s">
        <v>309</v>
      </c>
      <c r="P3" s="7">
        <v>784</v>
      </c>
      <c r="Q3" s="7">
        <v>1020</v>
      </c>
      <c r="R3" s="7">
        <v>0</v>
      </c>
      <c r="S3" s="7">
        <v>0</v>
      </c>
      <c r="T3" s="7">
        <v>0</v>
      </c>
      <c r="U3" s="7"/>
    </row>
    <row r="4" spans="1:21" x14ac:dyDescent="0.25">
      <c r="A4" s="6">
        <v>44457</v>
      </c>
      <c r="B4" s="7" t="s">
        <v>20</v>
      </c>
      <c r="C4" s="7" t="s">
        <v>23</v>
      </c>
      <c r="D4" s="7" t="s">
        <v>21</v>
      </c>
      <c r="E4" s="7" t="s">
        <v>263</v>
      </c>
      <c r="F4" s="7" t="s">
        <v>22</v>
      </c>
      <c r="G4" s="7">
        <v>70000</v>
      </c>
      <c r="H4" s="7" t="s">
        <v>24</v>
      </c>
      <c r="I4" s="7" t="s">
        <v>25</v>
      </c>
      <c r="J4" s="8">
        <v>0.5625</v>
      </c>
      <c r="K4" s="9">
        <v>0.58263888888888882</v>
      </c>
      <c r="L4" s="8">
        <v>0.39583333333333331</v>
      </c>
      <c r="M4" s="9">
        <v>0.42569444444444443</v>
      </c>
      <c r="N4" s="7" t="s">
        <v>314</v>
      </c>
      <c r="O4" s="7" t="s">
        <v>311</v>
      </c>
      <c r="P4" s="7">
        <v>971</v>
      </c>
      <c r="Q4" s="7">
        <v>988</v>
      </c>
      <c r="R4" s="7">
        <v>0</v>
      </c>
      <c r="S4" s="7">
        <v>0</v>
      </c>
      <c r="T4" s="7">
        <v>0</v>
      </c>
      <c r="U4" s="7"/>
    </row>
    <row r="5" spans="1:21" x14ac:dyDescent="0.25">
      <c r="A5" s="6">
        <v>44457</v>
      </c>
      <c r="B5" s="7" t="s">
        <v>20</v>
      </c>
      <c r="C5" s="7" t="s">
        <v>69</v>
      </c>
      <c r="D5" s="7" t="s">
        <v>21</v>
      </c>
      <c r="E5" s="7" t="s">
        <v>287</v>
      </c>
      <c r="F5" s="7" t="s">
        <v>22</v>
      </c>
      <c r="G5" s="7">
        <v>70000</v>
      </c>
      <c r="H5" s="7" t="s">
        <v>54</v>
      </c>
      <c r="I5" s="7" t="s">
        <v>55</v>
      </c>
      <c r="J5" s="8">
        <v>0.67361111111111116</v>
      </c>
      <c r="K5" s="9">
        <v>0.68472222222222223</v>
      </c>
      <c r="L5" s="8">
        <v>0.46875</v>
      </c>
      <c r="M5" s="9">
        <v>0.49374999999999997</v>
      </c>
      <c r="N5" s="7" t="s">
        <v>316</v>
      </c>
      <c r="O5" s="7" t="s">
        <v>313</v>
      </c>
      <c r="P5" s="7">
        <v>537</v>
      </c>
      <c r="Q5" s="7">
        <v>1007</v>
      </c>
      <c r="R5" s="7">
        <v>0</v>
      </c>
      <c r="S5" s="7">
        <v>0</v>
      </c>
      <c r="T5" s="7">
        <v>0</v>
      </c>
    </row>
    <row r="6" spans="1:21" x14ac:dyDescent="0.25">
      <c r="A6" s="6">
        <v>44457</v>
      </c>
      <c r="B6" s="6" t="s">
        <v>20</v>
      </c>
      <c r="C6" s="7" t="s">
        <v>26</v>
      </c>
      <c r="D6" s="7" t="s">
        <v>21</v>
      </c>
      <c r="E6" s="7" t="s">
        <v>263</v>
      </c>
      <c r="F6" s="7" t="s">
        <v>22</v>
      </c>
      <c r="G6" s="7">
        <v>70000</v>
      </c>
      <c r="H6" s="7" t="s">
        <v>27</v>
      </c>
      <c r="I6" s="7" t="s">
        <v>28</v>
      </c>
      <c r="J6" s="8">
        <v>0.95486111111111116</v>
      </c>
      <c r="K6" s="9">
        <v>0.97083333333333333</v>
      </c>
      <c r="L6" s="8">
        <v>0.60069444444444442</v>
      </c>
      <c r="M6" s="9">
        <v>0.62013888888888891</v>
      </c>
      <c r="N6" s="7" t="s">
        <v>319</v>
      </c>
      <c r="O6" s="7" t="s">
        <v>315</v>
      </c>
      <c r="P6" s="7">
        <v>1031</v>
      </c>
      <c r="Q6" s="7">
        <v>891</v>
      </c>
      <c r="R6" s="7">
        <v>0</v>
      </c>
      <c r="S6" s="7">
        <v>0</v>
      </c>
      <c r="T6" s="7">
        <v>0</v>
      </c>
    </row>
    <row r="7" spans="1:21" x14ac:dyDescent="0.25">
      <c r="A7" s="6">
        <v>44457</v>
      </c>
      <c r="B7" s="25" t="s">
        <v>20</v>
      </c>
      <c r="C7" s="25" t="s">
        <v>56</v>
      </c>
      <c r="D7" s="25" t="s">
        <v>21</v>
      </c>
      <c r="E7" s="25" t="s">
        <v>287</v>
      </c>
      <c r="F7" s="26" t="s">
        <v>22</v>
      </c>
      <c r="G7" s="15">
        <v>70000</v>
      </c>
      <c r="H7" s="26" t="s">
        <v>57</v>
      </c>
      <c r="I7" s="26" t="s">
        <v>58</v>
      </c>
      <c r="J7" s="8">
        <v>0.90972222222222221</v>
      </c>
      <c r="K7" s="9">
        <v>0.90833333333333333</v>
      </c>
      <c r="L7" s="8">
        <v>0.69444444444444453</v>
      </c>
      <c r="M7" s="9">
        <v>0.71805555555555556</v>
      </c>
      <c r="N7" s="9" t="s">
        <v>318</v>
      </c>
      <c r="O7" s="7" t="s">
        <v>317</v>
      </c>
      <c r="P7" s="7">
        <v>381</v>
      </c>
      <c r="Q7" s="7">
        <v>1187</v>
      </c>
      <c r="R7" s="7">
        <v>0</v>
      </c>
      <c r="S7" s="7">
        <v>0</v>
      </c>
      <c r="T7" s="12">
        <v>0</v>
      </c>
      <c r="U7">
        <v>0</v>
      </c>
    </row>
    <row r="8" spans="1:21" x14ac:dyDescent="0.25">
      <c r="A8" s="6">
        <v>44457</v>
      </c>
      <c r="B8" s="25" t="s">
        <v>212</v>
      </c>
      <c r="C8" s="25" t="s">
        <v>255</v>
      </c>
      <c r="D8" s="25" t="s">
        <v>215</v>
      </c>
      <c r="E8" s="25" t="s">
        <v>231</v>
      </c>
      <c r="F8" s="26" t="s">
        <v>291</v>
      </c>
      <c r="G8" s="15">
        <v>1156</v>
      </c>
      <c r="H8" s="26" t="str">
        <f t="shared" ref="H8:H15" si="0">E8</f>
        <v>YUDTT</v>
      </c>
      <c r="I8" s="26" t="str">
        <f t="shared" ref="I8:I15" si="1">H8</f>
        <v>YUDTT</v>
      </c>
      <c r="J8" s="5" t="s">
        <v>138</v>
      </c>
      <c r="K8" s="9">
        <v>0.64236111111111105</v>
      </c>
      <c r="L8" s="5" t="s">
        <v>138</v>
      </c>
      <c r="M8" s="9">
        <v>0.55138888888888882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11">
        <v>0</v>
      </c>
      <c r="T8" s="11">
        <v>0</v>
      </c>
      <c r="U8" s="11">
        <v>0</v>
      </c>
    </row>
    <row r="9" spans="1:21" x14ac:dyDescent="0.25">
      <c r="A9" s="6">
        <v>44457</v>
      </c>
      <c r="B9" s="25" t="s">
        <v>212</v>
      </c>
      <c r="C9" s="25" t="s">
        <v>255</v>
      </c>
      <c r="D9" s="7" t="s">
        <v>225</v>
      </c>
      <c r="E9" s="7" t="s">
        <v>219</v>
      </c>
      <c r="F9" s="26" t="s">
        <v>291</v>
      </c>
      <c r="G9" s="15">
        <v>2200</v>
      </c>
      <c r="H9" s="26" t="str">
        <f t="shared" si="0"/>
        <v>YUBZV</v>
      </c>
      <c r="I9" s="26" t="str">
        <f t="shared" si="1"/>
        <v>YUBZV</v>
      </c>
      <c r="J9" s="3"/>
      <c r="K9" s="9">
        <v>0.6381944444444444</v>
      </c>
      <c r="L9" s="3" t="s">
        <v>138</v>
      </c>
      <c r="M9" s="9">
        <v>0.55208333333333337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6">
        <v>44457</v>
      </c>
      <c r="B10" s="25" t="s">
        <v>212</v>
      </c>
      <c r="C10" s="25" t="s">
        <v>255</v>
      </c>
      <c r="D10" s="25" t="s">
        <v>213</v>
      </c>
      <c r="E10" s="25" t="s">
        <v>226</v>
      </c>
      <c r="F10" s="26" t="s">
        <v>291</v>
      </c>
      <c r="G10" s="15">
        <v>1315</v>
      </c>
      <c r="H10" s="26" t="str">
        <f t="shared" si="0"/>
        <v>YUDEM</v>
      </c>
      <c r="I10" s="26" t="str">
        <f t="shared" si="1"/>
        <v>YUDEM</v>
      </c>
      <c r="J10" s="3"/>
      <c r="K10" s="9">
        <v>0.66180555555555554</v>
      </c>
      <c r="L10" s="3"/>
      <c r="M10" s="9">
        <v>0.55069444444444449</v>
      </c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6">
        <v>44457</v>
      </c>
      <c r="B11" s="25" t="s">
        <v>212</v>
      </c>
      <c r="C11" s="25" t="s">
        <v>255</v>
      </c>
      <c r="D11" s="25" t="s">
        <v>215</v>
      </c>
      <c r="E11" s="25" t="s">
        <v>224</v>
      </c>
      <c r="F11" s="26" t="s">
        <v>291</v>
      </c>
      <c r="G11" s="15">
        <v>1025</v>
      </c>
      <c r="H11" s="26" t="str">
        <f t="shared" si="0"/>
        <v>YUDPT</v>
      </c>
      <c r="I11" s="26" t="str">
        <f t="shared" si="1"/>
        <v>YUDPT</v>
      </c>
      <c r="K11" s="9">
        <v>0.66180555555555554</v>
      </c>
      <c r="M11" s="9">
        <v>0.5493055555555556</v>
      </c>
    </row>
    <row r="12" spans="1:21" x14ac:dyDescent="0.25">
      <c r="A12" s="6">
        <v>44457</v>
      </c>
      <c r="B12" s="25" t="s">
        <v>212</v>
      </c>
      <c r="C12" s="25" t="s">
        <v>255</v>
      </c>
      <c r="D12" s="7" t="s">
        <v>218</v>
      </c>
      <c r="E12" s="7" t="s">
        <v>216</v>
      </c>
      <c r="F12" s="26" t="s">
        <v>291</v>
      </c>
      <c r="G12" s="15">
        <v>1633</v>
      </c>
      <c r="H12" s="26" t="str">
        <f t="shared" si="0"/>
        <v>YUDPS</v>
      </c>
      <c r="I12" s="26" t="str">
        <f t="shared" si="1"/>
        <v>YUDPS</v>
      </c>
      <c r="K12" s="9">
        <v>0.64861111111111114</v>
      </c>
      <c r="M12" s="9">
        <v>0.55208333333333337</v>
      </c>
    </row>
    <row r="13" spans="1:21" x14ac:dyDescent="0.25">
      <c r="A13" s="6">
        <v>44457</v>
      </c>
      <c r="B13" s="25" t="s">
        <v>212</v>
      </c>
      <c r="C13" s="25" t="s">
        <v>255</v>
      </c>
      <c r="D13" s="7" t="s">
        <v>220</v>
      </c>
      <c r="E13" s="7" t="s">
        <v>227</v>
      </c>
      <c r="F13" s="26" t="s">
        <v>291</v>
      </c>
      <c r="G13" s="15">
        <v>1633</v>
      </c>
      <c r="H13" s="26" t="s">
        <v>227</v>
      </c>
      <c r="I13" s="26" t="s">
        <v>227</v>
      </c>
      <c r="K13" s="9">
        <v>0.6777777777777777</v>
      </c>
      <c r="M13" s="9">
        <v>0.54999999999999993</v>
      </c>
    </row>
    <row r="14" spans="1:21" x14ac:dyDescent="0.25">
      <c r="A14" s="6">
        <v>44457</v>
      </c>
      <c r="B14" s="24" t="str">
        <f t="shared" ref="B14" si="2">B13</f>
        <v>GAS AVIAITON</v>
      </c>
      <c r="C14" s="25" t="s">
        <v>255</v>
      </c>
      <c r="D14" s="12" t="s">
        <v>215</v>
      </c>
      <c r="E14" s="7" t="s">
        <v>221</v>
      </c>
      <c r="F14" s="26" t="s">
        <v>291</v>
      </c>
      <c r="G14" s="15">
        <v>1156</v>
      </c>
      <c r="H14" s="26" t="str">
        <f t="shared" si="0"/>
        <v>YUDNZ</v>
      </c>
      <c r="I14" s="26" t="str">
        <f t="shared" si="1"/>
        <v>YUDNZ</v>
      </c>
      <c r="K14" s="9">
        <v>0.64583333333333337</v>
      </c>
      <c r="M14" s="9">
        <v>0.55138888888888882</v>
      </c>
    </row>
    <row r="15" spans="1:21" x14ac:dyDescent="0.25">
      <c r="A15" s="6">
        <v>44457</v>
      </c>
      <c r="B15" s="24" t="s">
        <v>290</v>
      </c>
      <c r="C15" s="25" t="s">
        <v>255</v>
      </c>
      <c r="D15" s="12" t="s">
        <v>215</v>
      </c>
      <c r="E15" s="7" t="s">
        <v>217</v>
      </c>
      <c r="F15" s="26" t="s">
        <v>291</v>
      </c>
      <c r="G15" s="15">
        <v>1156</v>
      </c>
      <c r="H15" s="26" t="str">
        <f t="shared" si="0"/>
        <v>YUFLY</v>
      </c>
      <c r="I15" s="26" t="str">
        <f t="shared" si="1"/>
        <v>YUFLY</v>
      </c>
      <c r="K15" s="9">
        <v>0.6791666666666667</v>
      </c>
      <c r="M15" s="9">
        <v>0.55208333333333337</v>
      </c>
    </row>
    <row r="16" spans="1:21" x14ac:dyDescent="0.25">
      <c r="A16" s="6">
        <v>44457</v>
      </c>
      <c r="B16" s="25" t="s">
        <v>212</v>
      </c>
      <c r="C16" s="25" t="s">
        <v>255</v>
      </c>
      <c r="D16" s="25" t="s">
        <v>213</v>
      </c>
      <c r="E16" s="25" t="s">
        <v>223</v>
      </c>
      <c r="F16" s="26" t="s">
        <v>291</v>
      </c>
      <c r="G16" s="15">
        <v>1315</v>
      </c>
      <c r="H16" s="26" t="str">
        <f>E16</f>
        <v>YUDZZ</v>
      </c>
      <c r="I16" s="26" t="str">
        <f>H16</f>
        <v>YUDZZ</v>
      </c>
      <c r="K16" s="9">
        <v>0.63958333333333328</v>
      </c>
      <c r="M16" s="9">
        <v>0.55069444444444449</v>
      </c>
    </row>
    <row r="17" spans="1:20" x14ac:dyDescent="0.25">
      <c r="A17" s="6"/>
      <c r="B17" s="25"/>
      <c r="C17" s="25"/>
      <c r="D17" s="25"/>
      <c r="E17" s="25"/>
      <c r="F17" s="26"/>
      <c r="G17" s="15"/>
      <c r="H17" s="26"/>
      <c r="I17" s="26"/>
      <c r="M17" s="9"/>
    </row>
    <row r="18" spans="1:20" x14ac:dyDescent="0.25">
      <c r="A18" s="6"/>
      <c r="B18" s="25"/>
      <c r="C18" s="25"/>
      <c r="D18" s="25"/>
      <c r="E18" s="25"/>
      <c r="F18" s="26"/>
      <c r="G18" s="15"/>
      <c r="H18" s="26"/>
      <c r="I18" s="26"/>
      <c r="J18" s="8"/>
      <c r="K18" s="9"/>
      <c r="L18" s="8"/>
      <c r="M18" s="9"/>
      <c r="N18" s="7"/>
      <c r="O18" s="7"/>
      <c r="P18" s="7"/>
      <c r="Q18" s="7"/>
      <c r="R18" s="7"/>
      <c r="S18" s="7"/>
      <c r="T18" s="12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>
      <selection activeCell="A6" sqref="A6:XFD14"/>
    </sheetView>
  </sheetViews>
  <sheetFormatPr defaultRowHeight="15" x14ac:dyDescent="0.25"/>
  <cols>
    <col min="1" max="1" width="8.5703125" customWidth="1"/>
    <col min="2" max="2" width="13.28515625" customWidth="1"/>
    <col min="3" max="3" width="12.7109375" customWidth="1"/>
    <col min="5" max="5" width="7.85546875" customWidth="1"/>
    <col min="6" max="6" width="12.140625" bestFit="1" customWidth="1"/>
    <col min="10" max="10" width="9" customWidth="1"/>
    <col min="11" max="11" width="8.140625" customWidth="1"/>
    <col min="12" max="12" width="9.5703125" customWidth="1"/>
    <col min="13" max="13" width="10.85546875" bestFit="1" customWidth="1"/>
    <col min="14" max="14" width="13.28515625" customWidth="1"/>
    <col min="15" max="15" width="16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6">
        <v>44458</v>
      </c>
      <c r="B2" s="7" t="s">
        <v>20</v>
      </c>
      <c r="C2" s="7" t="s">
        <v>61</v>
      </c>
      <c r="D2" s="7" t="s">
        <v>21</v>
      </c>
      <c r="E2" s="7" t="s">
        <v>287</v>
      </c>
      <c r="F2" s="7" t="s">
        <v>22</v>
      </c>
      <c r="G2" s="7">
        <v>70000</v>
      </c>
      <c r="H2" s="7" t="s">
        <v>65</v>
      </c>
      <c r="I2" s="7" t="s">
        <v>121</v>
      </c>
      <c r="J2" s="8">
        <v>0.70486111111111116</v>
      </c>
      <c r="K2" s="9">
        <v>0.68958333333333333</v>
      </c>
      <c r="L2" s="8">
        <v>0.46875</v>
      </c>
      <c r="M2" s="9">
        <v>0.4680555555555555</v>
      </c>
      <c r="N2" s="7" t="s">
        <v>323</v>
      </c>
      <c r="O2" s="7" t="s">
        <v>320</v>
      </c>
      <c r="P2" s="7">
        <v>385</v>
      </c>
      <c r="Q2" s="7">
        <v>1181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</row>
    <row r="3" spans="1:24" x14ac:dyDescent="0.25">
      <c r="A3" s="6">
        <v>44458</v>
      </c>
      <c r="B3" s="7" t="s">
        <v>20</v>
      </c>
      <c r="C3" s="7" t="s">
        <v>122</v>
      </c>
      <c r="D3" s="7" t="s">
        <v>21</v>
      </c>
      <c r="E3" s="7" t="s">
        <v>263</v>
      </c>
      <c r="F3" s="7" t="s">
        <v>22</v>
      </c>
      <c r="G3" s="7">
        <v>70000</v>
      </c>
      <c r="H3" s="7" t="s">
        <v>123</v>
      </c>
      <c r="I3" s="7" t="s">
        <v>124</v>
      </c>
      <c r="J3" s="8">
        <v>0.69097222222222221</v>
      </c>
      <c r="K3" s="9">
        <v>0.67361111111111116</v>
      </c>
      <c r="L3" s="8">
        <v>0.54166666666666663</v>
      </c>
      <c r="M3" s="9">
        <v>0.5444444444444444</v>
      </c>
      <c r="N3" s="7">
        <v>53</v>
      </c>
      <c r="O3" s="7" t="s">
        <v>321</v>
      </c>
      <c r="P3" s="7">
        <v>315</v>
      </c>
      <c r="Q3" s="7">
        <v>929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</row>
    <row r="4" spans="1:24" x14ac:dyDescent="0.25">
      <c r="A4" s="6">
        <v>44458</v>
      </c>
      <c r="B4" s="7" t="s">
        <v>20</v>
      </c>
      <c r="C4" s="7" t="s">
        <v>29</v>
      </c>
      <c r="D4" s="7" t="s">
        <v>21</v>
      </c>
      <c r="E4" s="7" t="s">
        <v>263</v>
      </c>
      <c r="F4" s="7" t="s">
        <v>22</v>
      </c>
      <c r="G4" s="7">
        <v>70000</v>
      </c>
      <c r="H4" s="7" t="s">
        <v>30</v>
      </c>
      <c r="I4" s="7" t="s">
        <v>31</v>
      </c>
      <c r="J4" s="8">
        <v>0.90625</v>
      </c>
      <c r="K4" s="9">
        <v>0.8930555555555556</v>
      </c>
      <c r="L4" s="8">
        <v>0.71527777777777779</v>
      </c>
      <c r="M4" s="9">
        <v>0.71805555555555556</v>
      </c>
      <c r="N4" s="7" t="s">
        <v>324</v>
      </c>
      <c r="O4" s="7" t="s">
        <v>322</v>
      </c>
      <c r="P4" s="7">
        <v>657</v>
      </c>
      <c r="Q4" s="7">
        <v>1016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</row>
    <row r="5" spans="1:24" x14ac:dyDescent="0.25">
      <c r="A5" s="6">
        <v>44458</v>
      </c>
      <c r="B5" s="7" t="s">
        <v>20</v>
      </c>
      <c r="C5" s="7" t="s">
        <v>62</v>
      </c>
      <c r="D5" s="7" t="s">
        <v>21</v>
      </c>
      <c r="E5" s="7" t="s">
        <v>287</v>
      </c>
      <c r="F5" s="7" t="s">
        <v>22</v>
      </c>
      <c r="G5" s="7">
        <v>70000</v>
      </c>
      <c r="H5" s="7" t="s">
        <v>64</v>
      </c>
      <c r="I5" s="7" t="s">
        <v>63</v>
      </c>
      <c r="J5" s="8">
        <v>0.94097222222222221</v>
      </c>
      <c r="K5" s="9">
        <v>0.93402777777777779</v>
      </c>
      <c r="L5" s="8">
        <v>0.72569444444444453</v>
      </c>
      <c r="M5" s="9">
        <v>0.73263888888888884</v>
      </c>
      <c r="N5" s="7" t="s">
        <v>325</v>
      </c>
      <c r="O5" s="7" t="s">
        <v>74</v>
      </c>
      <c r="P5" s="7">
        <v>435</v>
      </c>
      <c r="Q5" s="7">
        <v>783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</row>
    <row r="6" spans="1:24" x14ac:dyDescent="0.25">
      <c r="A6" s="6">
        <v>44457</v>
      </c>
      <c r="B6" s="25" t="s">
        <v>212</v>
      </c>
      <c r="C6" s="25" t="s">
        <v>255</v>
      </c>
      <c r="D6" s="25" t="s">
        <v>215</v>
      </c>
      <c r="E6" s="25" t="s">
        <v>231</v>
      </c>
      <c r="F6" s="26" t="s">
        <v>291</v>
      </c>
      <c r="G6" s="15">
        <v>1156</v>
      </c>
      <c r="H6" s="26" t="str">
        <f t="shared" ref="H6:H13" si="0">E6</f>
        <v>YUDTT</v>
      </c>
      <c r="I6" s="26" t="str">
        <f t="shared" ref="I6:I13" si="1">H6</f>
        <v>YUDTT</v>
      </c>
      <c r="J6" s="5" t="s">
        <v>138</v>
      </c>
      <c r="K6" s="9">
        <v>0.72083333333333333</v>
      </c>
      <c r="L6" s="5" t="s">
        <v>138</v>
      </c>
      <c r="M6" s="9">
        <v>0.44305555555555554</v>
      </c>
      <c r="N6" s="3"/>
      <c r="O6" s="3"/>
      <c r="P6" s="3"/>
      <c r="Q6" s="3"/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</row>
    <row r="7" spans="1:24" x14ac:dyDescent="0.25">
      <c r="A7" s="6">
        <v>44457</v>
      </c>
      <c r="B7" s="25" t="s">
        <v>212</v>
      </c>
      <c r="C7" s="25" t="s">
        <v>255</v>
      </c>
      <c r="D7" s="7" t="s">
        <v>225</v>
      </c>
      <c r="E7" s="7" t="s">
        <v>219</v>
      </c>
      <c r="F7" s="26" t="s">
        <v>291</v>
      </c>
      <c r="G7" s="15">
        <v>2200</v>
      </c>
      <c r="H7" s="26" t="str">
        <f t="shared" si="0"/>
        <v>YUBZV</v>
      </c>
      <c r="I7" s="26" t="str">
        <f t="shared" si="1"/>
        <v>YUBZV</v>
      </c>
      <c r="J7" s="3"/>
      <c r="K7" s="9">
        <v>0.72152777777777777</v>
      </c>
      <c r="L7" s="3" t="s">
        <v>138</v>
      </c>
      <c r="M7" s="9">
        <v>0.44305555555555554</v>
      </c>
      <c r="N7" s="3"/>
      <c r="O7" s="3"/>
      <c r="P7" s="3"/>
      <c r="Q7" s="3"/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24" x14ac:dyDescent="0.25">
      <c r="A8" s="6">
        <v>44457</v>
      </c>
      <c r="B8" s="25" t="s">
        <v>212</v>
      </c>
      <c r="C8" s="25" t="s">
        <v>255</v>
      </c>
      <c r="D8" s="25" t="s">
        <v>213</v>
      </c>
      <c r="E8" s="25" t="s">
        <v>226</v>
      </c>
      <c r="F8" s="26" t="s">
        <v>291</v>
      </c>
      <c r="G8" s="15">
        <v>1315</v>
      </c>
      <c r="H8" s="26" t="str">
        <f t="shared" si="0"/>
        <v>YUDEM</v>
      </c>
      <c r="I8" s="26" t="str">
        <f t="shared" si="1"/>
        <v>YUDEM</v>
      </c>
      <c r="J8" s="3"/>
      <c r="K8" s="9">
        <v>0.72222222222222221</v>
      </c>
      <c r="L8" s="3"/>
      <c r="M8" s="9">
        <v>0.44305555555555554</v>
      </c>
      <c r="N8" s="3"/>
      <c r="O8" s="3"/>
      <c r="P8" s="3"/>
      <c r="Q8" s="3"/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1:24" x14ac:dyDescent="0.25">
      <c r="A9" s="6">
        <v>44457</v>
      </c>
      <c r="B9" s="25" t="s">
        <v>212</v>
      </c>
      <c r="C9" s="25" t="s">
        <v>255</v>
      </c>
      <c r="D9" s="25" t="s">
        <v>215</v>
      </c>
      <c r="E9" s="25" t="s">
        <v>224</v>
      </c>
      <c r="F9" s="26" t="s">
        <v>291</v>
      </c>
      <c r="G9" s="15">
        <v>1025</v>
      </c>
      <c r="H9" s="26" t="str">
        <f t="shared" si="0"/>
        <v>YUDPT</v>
      </c>
      <c r="I9" s="26" t="str">
        <f t="shared" si="1"/>
        <v>YUDPT</v>
      </c>
      <c r="K9" s="9">
        <v>0.72361111111111109</v>
      </c>
      <c r="M9" s="9">
        <v>0.44444444444444442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x14ac:dyDescent="0.25">
      <c r="A10" s="6">
        <v>44457</v>
      </c>
      <c r="B10" s="25" t="s">
        <v>212</v>
      </c>
      <c r="C10" s="25" t="s">
        <v>255</v>
      </c>
      <c r="D10" s="7" t="s">
        <v>218</v>
      </c>
      <c r="E10" s="7" t="s">
        <v>216</v>
      </c>
      <c r="F10" s="26" t="s">
        <v>291</v>
      </c>
      <c r="G10" s="15">
        <v>1633</v>
      </c>
      <c r="H10" s="26" t="str">
        <f t="shared" si="0"/>
        <v>YUDPS</v>
      </c>
      <c r="I10" s="26" t="str">
        <f t="shared" si="1"/>
        <v>YUDPS</v>
      </c>
      <c r="K10" s="9">
        <v>0.72499999999999998</v>
      </c>
      <c r="M10" s="9">
        <v>0.44444444444444442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x14ac:dyDescent="0.25">
      <c r="A11" s="6">
        <v>44457</v>
      </c>
      <c r="B11" s="25" t="s">
        <v>212</v>
      </c>
      <c r="C11" s="25" t="s">
        <v>255</v>
      </c>
      <c r="D11" s="7" t="s">
        <v>220</v>
      </c>
      <c r="E11" s="7" t="s">
        <v>227</v>
      </c>
      <c r="F11" s="26" t="s">
        <v>291</v>
      </c>
      <c r="G11" s="15">
        <v>1633</v>
      </c>
      <c r="H11" s="26" t="s">
        <v>227</v>
      </c>
      <c r="I11" s="26" t="s">
        <v>227</v>
      </c>
      <c r="K11" s="9">
        <v>0.72638888888888886</v>
      </c>
      <c r="M11" s="9">
        <v>0.44444444444444442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x14ac:dyDescent="0.25">
      <c r="A12" s="6">
        <v>44457</v>
      </c>
      <c r="B12" s="24" t="str">
        <f t="shared" ref="B12" si="2">B11</f>
        <v>GAS AVIAITON</v>
      </c>
      <c r="C12" s="25" t="s">
        <v>255</v>
      </c>
      <c r="D12" s="12" t="s">
        <v>215</v>
      </c>
      <c r="E12" s="7" t="s">
        <v>221</v>
      </c>
      <c r="F12" s="26" t="s">
        <v>291</v>
      </c>
      <c r="G12" s="15">
        <v>1156</v>
      </c>
      <c r="H12" s="26" t="str">
        <f t="shared" si="0"/>
        <v>YUDNZ</v>
      </c>
      <c r="I12" s="26" t="str">
        <f t="shared" si="1"/>
        <v>YUDNZ</v>
      </c>
      <c r="K12" s="9">
        <v>0.7270833333333333</v>
      </c>
      <c r="M12" s="9">
        <v>0.44375000000000003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x14ac:dyDescent="0.25">
      <c r="A13" s="6">
        <v>44457</v>
      </c>
      <c r="B13" s="24" t="s">
        <v>290</v>
      </c>
      <c r="C13" s="25" t="s">
        <v>255</v>
      </c>
      <c r="D13" s="12" t="s">
        <v>215</v>
      </c>
      <c r="E13" s="7" t="s">
        <v>217</v>
      </c>
      <c r="F13" s="26" t="s">
        <v>291</v>
      </c>
      <c r="G13" s="15">
        <v>1156</v>
      </c>
      <c r="H13" s="26" t="str">
        <f t="shared" si="0"/>
        <v>YUFLY</v>
      </c>
      <c r="I13" s="26" t="str">
        <f t="shared" si="1"/>
        <v>YUFLY</v>
      </c>
      <c r="K13" s="9">
        <v>0.72777777777777775</v>
      </c>
      <c r="M13" s="9">
        <v>0.485416666666667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x14ac:dyDescent="0.25">
      <c r="A14" s="6">
        <v>44457</v>
      </c>
      <c r="B14" s="25" t="s">
        <v>212</v>
      </c>
      <c r="C14" s="25" t="s">
        <v>255</v>
      </c>
      <c r="D14" s="25" t="s">
        <v>213</v>
      </c>
      <c r="E14" s="25" t="s">
        <v>223</v>
      </c>
      <c r="F14" s="26" t="s">
        <v>291</v>
      </c>
      <c r="G14" s="15">
        <v>1315</v>
      </c>
      <c r="H14" s="26" t="str">
        <f>E14</f>
        <v>YUDZZ</v>
      </c>
      <c r="I14" s="26" t="str">
        <f>H14</f>
        <v>YUDZZ</v>
      </c>
      <c r="K14" s="9">
        <v>0.7284722222222223</v>
      </c>
      <c r="M14" s="9">
        <v>0.52708333333333302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</sheetData>
  <pageMargins left="0.7" right="0.7" top="0.75" bottom="0.75" header="0.3" footer="0.3"/>
  <pageSetup paperSize="9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opLeftCell="F1" workbookViewId="0">
      <selection sqref="A1:U6"/>
    </sheetView>
  </sheetViews>
  <sheetFormatPr defaultRowHeight="15" x14ac:dyDescent="0.25"/>
  <cols>
    <col min="2" max="2" width="9.5703125" customWidth="1"/>
    <col min="3" max="3" width="12.140625" customWidth="1"/>
    <col min="4" max="4" width="6" customWidth="1"/>
    <col min="6" max="6" width="8" customWidth="1"/>
    <col min="10" max="10" width="11" bestFit="1" customWidth="1"/>
    <col min="11" max="11" width="9.140625" customWidth="1"/>
    <col min="14" max="15" width="18.42578125" bestFit="1" customWidth="1"/>
    <col min="17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44459</v>
      </c>
      <c r="B2" s="6" t="s">
        <v>20</v>
      </c>
      <c r="C2" s="7" t="s">
        <v>32</v>
      </c>
      <c r="D2" s="7" t="s">
        <v>21</v>
      </c>
      <c r="E2" s="7" t="s">
        <v>248</v>
      </c>
      <c r="F2" s="7" t="s">
        <v>22</v>
      </c>
      <c r="G2" s="7">
        <v>70000</v>
      </c>
      <c r="H2" s="7" t="s">
        <v>33</v>
      </c>
      <c r="I2" s="7" t="s">
        <v>34</v>
      </c>
      <c r="J2" s="8">
        <v>0.45833333333333331</v>
      </c>
      <c r="K2" s="9">
        <v>0.44722222222222219</v>
      </c>
      <c r="L2" s="8">
        <v>0.25694444444444448</v>
      </c>
      <c r="M2" s="9">
        <v>0.25486111111111109</v>
      </c>
      <c r="N2" s="7" t="s">
        <v>327</v>
      </c>
      <c r="O2" s="7" t="s">
        <v>131</v>
      </c>
      <c r="P2" s="7">
        <v>172</v>
      </c>
      <c r="Q2" s="7">
        <v>554</v>
      </c>
      <c r="R2" s="7">
        <v>0</v>
      </c>
      <c r="S2" s="7">
        <v>0</v>
      </c>
      <c r="T2" s="7">
        <v>0</v>
      </c>
      <c r="U2" s="7">
        <v>0</v>
      </c>
    </row>
    <row r="3" spans="1:21" x14ac:dyDescent="0.25">
      <c r="A3" s="6">
        <v>44459</v>
      </c>
      <c r="B3" s="7" t="s">
        <v>20</v>
      </c>
      <c r="C3" s="7" t="s">
        <v>35</v>
      </c>
      <c r="D3" s="7" t="s">
        <v>21</v>
      </c>
      <c r="E3" s="7" t="s">
        <v>326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0.85416666666666663</v>
      </c>
      <c r="K3" s="9">
        <v>0.89930555555555547</v>
      </c>
      <c r="L3" s="8">
        <v>0.39583333333333331</v>
      </c>
      <c r="M3" s="9">
        <v>0.40208333333333335</v>
      </c>
      <c r="N3" s="7" t="s">
        <v>331</v>
      </c>
      <c r="O3" s="7" t="s">
        <v>328</v>
      </c>
      <c r="P3" s="7">
        <v>895</v>
      </c>
      <c r="Q3" s="7">
        <v>833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6">
        <v>44459</v>
      </c>
      <c r="B4" s="7" t="s">
        <v>20</v>
      </c>
      <c r="C4" s="7" t="s">
        <v>38</v>
      </c>
      <c r="D4" s="7" t="s">
        <v>21</v>
      </c>
      <c r="E4" s="7" t="s">
        <v>248</v>
      </c>
      <c r="F4" s="7" t="s">
        <v>22</v>
      </c>
      <c r="G4" s="7">
        <v>70000</v>
      </c>
      <c r="H4" s="7" t="s">
        <v>39</v>
      </c>
      <c r="I4" s="7" t="s">
        <v>40</v>
      </c>
      <c r="J4" s="8">
        <v>0.71875</v>
      </c>
      <c r="K4" s="9">
        <v>0.69374999999999998</v>
      </c>
      <c r="L4" s="8">
        <v>0.48958333333333331</v>
      </c>
      <c r="M4" s="9">
        <v>0.48125000000000001</v>
      </c>
      <c r="N4" s="7" t="s">
        <v>96</v>
      </c>
      <c r="O4" s="7" t="s">
        <v>206</v>
      </c>
      <c r="P4" s="7">
        <v>263</v>
      </c>
      <c r="Q4" s="7">
        <v>565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>
        <v>44459</v>
      </c>
      <c r="B5" s="7" t="s">
        <v>20</v>
      </c>
      <c r="C5" s="7" t="s">
        <v>41</v>
      </c>
      <c r="D5" s="7" t="s">
        <v>21</v>
      </c>
      <c r="E5" s="7" t="s">
        <v>248</v>
      </c>
      <c r="F5" s="7" t="s">
        <v>22</v>
      </c>
      <c r="G5" s="7">
        <v>70000</v>
      </c>
      <c r="H5" s="7" t="s">
        <v>42</v>
      </c>
      <c r="I5" s="7" t="s">
        <v>43</v>
      </c>
      <c r="J5" s="4">
        <v>0.92013888888888884</v>
      </c>
      <c r="K5" s="9">
        <v>0.91180555555555554</v>
      </c>
      <c r="L5" s="4">
        <v>0.73958333333333337</v>
      </c>
      <c r="M5" s="5">
        <v>0.73888888888888893</v>
      </c>
      <c r="N5" s="7" t="s">
        <v>330</v>
      </c>
      <c r="O5" s="7" t="s">
        <v>329</v>
      </c>
      <c r="P5" s="7">
        <v>753</v>
      </c>
      <c r="Q5" s="7">
        <v>537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/>
      <c r="B6" s="6"/>
      <c r="C6" s="7"/>
      <c r="D6" s="7"/>
      <c r="E6" s="7"/>
      <c r="F6" s="7"/>
      <c r="G6" s="7"/>
      <c r="H6" s="7"/>
      <c r="I6" s="7"/>
      <c r="J6" s="8"/>
      <c r="K6" s="9"/>
      <c r="L6" s="8"/>
      <c r="M6" s="9"/>
      <c r="N6" s="7"/>
      <c r="O6" s="7"/>
      <c r="P6" s="7"/>
      <c r="Q6" s="7"/>
      <c r="R6" s="7"/>
      <c r="S6" s="7"/>
      <c r="T6" s="7"/>
      <c r="U6" s="7"/>
    </row>
    <row r="7" spans="1:21" x14ac:dyDescent="0.25">
      <c r="A7" s="24"/>
      <c r="B7" s="25"/>
      <c r="C7" s="25"/>
      <c r="D7" s="25"/>
      <c r="E7" s="25"/>
      <c r="F7" s="26"/>
      <c r="G7" s="15"/>
      <c r="H7" s="26"/>
      <c r="I7" s="26"/>
      <c r="J7" s="8"/>
      <c r="K7" s="8"/>
      <c r="L7" s="8"/>
      <c r="M7" s="9"/>
      <c r="N7" s="7"/>
      <c r="O7" s="7"/>
      <c r="P7" s="7"/>
      <c r="Q7" s="7"/>
      <c r="R7" s="7"/>
      <c r="S7" s="7"/>
      <c r="T7" s="7"/>
      <c r="U7" s="7"/>
    </row>
    <row r="8" spans="1:21" s="14" customFormat="1" x14ac:dyDescent="0.25">
      <c r="A8" s="24"/>
      <c r="B8" s="25"/>
      <c r="C8" s="25"/>
      <c r="D8" s="25"/>
      <c r="E8" s="25"/>
      <c r="F8" s="26"/>
      <c r="G8" s="15"/>
      <c r="H8" s="26"/>
      <c r="I8" s="26"/>
      <c r="J8" s="8"/>
      <c r="K8" s="8"/>
      <c r="L8" s="8"/>
      <c r="M8" s="9"/>
      <c r="N8" s="7"/>
      <c r="O8" s="7"/>
      <c r="P8" s="7"/>
      <c r="Q8" s="7"/>
      <c r="R8" s="7"/>
      <c r="S8" s="7"/>
      <c r="T8" s="7"/>
      <c r="U8" s="7"/>
    </row>
    <row r="9" spans="1:21" s="14" customFormat="1" x14ac:dyDescent="0.25">
      <c r="A9" s="24"/>
      <c r="B9" s="25"/>
      <c r="C9" s="25"/>
      <c r="D9" s="7"/>
      <c r="E9" s="7"/>
      <c r="F9" s="26"/>
      <c r="G9" s="15"/>
      <c r="H9" s="7"/>
      <c r="I9" s="7"/>
      <c r="J9" s="8"/>
      <c r="K9" s="8"/>
      <c r="L9" s="8"/>
      <c r="M9" s="9"/>
      <c r="N9" s="7"/>
      <c r="O9" s="7"/>
      <c r="P9" s="7"/>
      <c r="Q9" s="7"/>
      <c r="R9" s="7"/>
      <c r="S9" s="7"/>
      <c r="T9" s="7"/>
      <c r="U9" s="7"/>
    </row>
    <row r="10" spans="1:21" s="3" customFormat="1" ht="12.75" x14ac:dyDescent="0.2">
      <c r="A10" s="24"/>
      <c r="B10" s="25"/>
      <c r="C10" s="25"/>
      <c r="D10" s="25"/>
      <c r="E10" s="25"/>
      <c r="F10" s="26"/>
      <c r="G10" s="15"/>
      <c r="H10" s="26"/>
      <c r="I10" s="26"/>
      <c r="J10" s="8"/>
      <c r="K10" s="8"/>
      <c r="L10" s="8"/>
      <c r="M10" s="9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24"/>
      <c r="B11" s="25"/>
      <c r="C11" s="25"/>
      <c r="D11" s="25"/>
      <c r="E11" s="25"/>
      <c r="F11" s="26"/>
      <c r="G11" s="15"/>
      <c r="H11" s="26"/>
      <c r="I11" s="26"/>
      <c r="J11" s="8"/>
      <c r="K11" s="8"/>
      <c r="L11" s="8"/>
      <c r="M11" s="9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24"/>
      <c r="B12" s="25"/>
      <c r="C12" s="25"/>
      <c r="D12" s="7"/>
      <c r="E12" s="7"/>
      <c r="F12" s="26"/>
      <c r="G12" s="15"/>
      <c r="H12" s="26"/>
      <c r="I12" s="26"/>
      <c r="J12" s="8"/>
      <c r="K12" s="8"/>
      <c r="L12" s="8"/>
      <c r="M12" s="9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24"/>
      <c r="B13" s="25"/>
      <c r="C13" s="25"/>
      <c r="D13" s="7"/>
      <c r="E13" s="7"/>
      <c r="F13" s="26"/>
      <c r="G13" s="15"/>
      <c r="H13" s="26"/>
      <c r="I13" s="26"/>
      <c r="J13" s="8"/>
      <c r="K13" s="8"/>
      <c r="L13" s="8"/>
      <c r="M13" s="9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24"/>
      <c r="B14" s="24"/>
      <c r="C14" s="25"/>
      <c r="D14" s="12"/>
      <c r="E14" s="7"/>
      <c r="F14" s="26"/>
      <c r="G14" s="15"/>
      <c r="H14" s="12"/>
      <c r="I14" s="12"/>
      <c r="J14" s="8"/>
      <c r="K14" s="8"/>
      <c r="L14" s="8"/>
      <c r="M14" s="9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24"/>
      <c r="B15" s="24"/>
      <c r="C15" s="25"/>
      <c r="D15" s="25"/>
      <c r="E15" s="7"/>
      <c r="F15" s="26"/>
      <c r="G15" s="15"/>
      <c r="H15" s="12"/>
      <c r="I15" s="12"/>
      <c r="J15" s="8"/>
      <c r="K15" s="8"/>
      <c r="L15" s="8"/>
      <c r="M15" s="9"/>
      <c r="N15" s="12"/>
      <c r="O15" s="12"/>
    </row>
    <row r="20" spans="11:11" x14ac:dyDescent="0.25">
      <c r="K20" s="9"/>
    </row>
    <row r="21" spans="11:11" x14ac:dyDescent="0.25">
      <c r="K21" s="9"/>
    </row>
    <row r="22" spans="11:11" x14ac:dyDescent="0.25">
      <c r="K22" s="9"/>
    </row>
    <row r="23" spans="11:11" x14ac:dyDescent="0.25">
      <c r="K23" s="9"/>
    </row>
    <row r="24" spans="11:11" x14ac:dyDescent="0.25">
      <c r="K24" s="9"/>
    </row>
    <row r="25" spans="11:11" x14ac:dyDescent="0.25">
      <c r="K25" s="9"/>
    </row>
    <row r="26" spans="11:11" x14ac:dyDescent="0.25">
      <c r="K26" s="9"/>
    </row>
    <row r="27" spans="11:11" x14ac:dyDescent="0.25">
      <c r="K27" s="9"/>
    </row>
    <row r="28" spans="11:11" x14ac:dyDescent="0.25">
      <c r="K28" s="9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>
      <selection activeCell="M22" sqref="M22"/>
    </sheetView>
  </sheetViews>
  <sheetFormatPr defaultRowHeight="12.75" x14ac:dyDescent="0.2"/>
  <cols>
    <col min="1" max="1" width="9.85546875" style="3" customWidth="1"/>
    <col min="2" max="2" width="9.140625" style="3"/>
    <col min="3" max="3" width="13.28515625" style="3" customWidth="1"/>
    <col min="4" max="6" width="9.140625" style="3"/>
    <col min="7" max="7" width="9.28515625" style="3" bestFit="1" customWidth="1"/>
    <col min="8" max="8" width="9.140625" style="3"/>
    <col min="9" max="9" width="7.7109375" style="3" customWidth="1"/>
    <col min="10" max="10" width="9.28515625" style="3" bestFit="1" customWidth="1"/>
    <col min="11" max="11" width="7.7109375" style="3" customWidth="1"/>
    <col min="12" max="12" width="9" style="3" customWidth="1"/>
    <col min="13" max="13" width="9.28515625" style="3" bestFit="1" customWidth="1"/>
    <col min="14" max="15" width="18.42578125" style="3" bestFit="1" customWidth="1"/>
    <col min="16" max="21" width="9.28515625" style="3" bestFit="1" customWidth="1"/>
    <col min="22" max="16384" width="9.140625" style="3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4" customFormat="1" ht="15" x14ac:dyDescent="0.25">
      <c r="A2" s="6">
        <v>44460</v>
      </c>
      <c r="B2" s="7" t="s">
        <v>20</v>
      </c>
      <c r="C2" s="7" t="s">
        <v>70</v>
      </c>
      <c r="D2" s="7" t="s">
        <v>21</v>
      </c>
      <c r="E2" s="7" t="s">
        <v>287</v>
      </c>
      <c r="F2" s="7" t="s">
        <v>22</v>
      </c>
      <c r="G2" s="7">
        <v>70000</v>
      </c>
      <c r="H2" s="7" t="s">
        <v>52</v>
      </c>
      <c r="I2" s="7" t="s">
        <v>53</v>
      </c>
      <c r="J2" s="8">
        <v>0.4513888888888889</v>
      </c>
      <c r="K2" s="9">
        <v>0.46736111111111112</v>
      </c>
      <c r="L2" s="8">
        <v>0.27777777777777779</v>
      </c>
      <c r="M2" s="9">
        <v>0.3034722222222222</v>
      </c>
      <c r="N2" s="7" t="s">
        <v>333</v>
      </c>
      <c r="O2" s="7" t="s">
        <v>332</v>
      </c>
      <c r="P2" s="7">
        <v>404</v>
      </c>
      <c r="Q2" s="7">
        <v>1084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</row>
    <row r="3" spans="1:24" customFormat="1" ht="15" x14ac:dyDescent="0.25">
      <c r="A3" s="6">
        <v>44460</v>
      </c>
      <c r="B3" s="7" t="s">
        <v>20</v>
      </c>
      <c r="C3" s="7" t="s">
        <v>23</v>
      </c>
      <c r="D3" s="7" t="s">
        <v>21</v>
      </c>
      <c r="E3" s="7" t="s">
        <v>263</v>
      </c>
      <c r="F3" s="7" t="s">
        <v>22</v>
      </c>
      <c r="G3" s="7">
        <v>70000</v>
      </c>
      <c r="H3" s="7" t="s">
        <v>24</v>
      </c>
      <c r="I3" s="7" t="s">
        <v>25</v>
      </c>
      <c r="J3" s="8">
        <v>0.5625</v>
      </c>
      <c r="K3" s="9">
        <v>0.56319444444444444</v>
      </c>
      <c r="L3" s="8">
        <v>0.39583333333333331</v>
      </c>
      <c r="M3" s="9">
        <v>0.40972222222222227</v>
      </c>
      <c r="N3" s="7" t="s">
        <v>335</v>
      </c>
      <c r="O3" s="7" t="s">
        <v>334</v>
      </c>
      <c r="P3" s="7">
        <v>597</v>
      </c>
      <c r="Q3" s="7">
        <v>612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</row>
    <row r="4" spans="1:24" customFormat="1" ht="15" x14ac:dyDescent="0.25">
      <c r="A4" s="6">
        <v>44460</v>
      </c>
      <c r="B4" s="7" t="s">
        <v>20</v>
      </c>
      <c r="C4" s="7" t="s">
        <v>69</v>
      </c>
      <c r="D4" s="7" t="s">
        <v>21</v>
      </c>
      <c r="E4" s="7" t="s">
        <v>287</v>
      </c>
      <c r="F4" s="7" t="s">
        <v>22</v>
      </c>
      <c r="G4" s="7">
        <v>70000</v>
      </c>
      <c r="H4" s="7" t="s">
        <v>54</v>
      </c>
      <c r="I4" s="7" t="s">
        <v>55</v>
      </c>
      <c r="J4" s="8">
        <v>0.6875</v>
      </c>
      <c r="K4" s="9">
        <v>0.68888888888888899</v>
      </c>
      <c r="L4" s="8">
        <v>0.4826388888888889</v>
      </c>
      <c r="M4" s="9">
        <v>0.49444444444444446</v>
      </c>
      <c r="N4" s="7" t="s">
        <v>337</v>
      </c>
      <c r="O4" s="7" t="s">
        <v>297</v>
      </c>
      <c r="P4" s="7">
        <v>413</v>
      </c>
      <c r="Q4" s="7">
        <v>480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</row>
    <row r="5" spans="1:24" customFormat="1" ht="15" x14ac:dyDescent="0.25">
      <c r="A5" s="6">
        <v>44460</v>
      </c>
      <c r="B5" s="6" t="s">
        <v>20</v>
      </c>
      <c r="C5" s="7" t="s">
        <v>26</v>
      </c>
      <c r="D5" s="7" t="s">
        <v>21</v>
      </c>
      <c r="E5" s="7" t="s">
        <v>263</v>
      </c>
      <c r="F5" s="7" t="s">
        <v>22</v>
      </c>
      <c r="G5" s="7">
        <v>70000</v>
      </c>
      <c r="H5" s="7" t="s">
        <v>27</v>
      </c>
      <c r="I5" s="7" t="s">
        <v>28</v>
      </c>
      <c r="J5" s="8">
        <v>0.95486111111111116</v>
      </c>
      <c r="K5" s="9">
        <v>0.95416666666666661</v>
      </c>
      <c r="L5" s="8">
        <v>0.60069444444444442</v>
      </c>
      <c r="M5" s="9">
        <v>0.6069444444444444</v>
      </c>
      <c r="N5" s="7" t="s">
        <v>339</v>
      </c>
      <c r="O5" s="7" t="s">
        <v>336</v>
      </c>
      <c r="P5" s="7">
        <v>585</v>
      </c>
      <c r="Q5" s="7">
        <v>621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</row>
    <row r="6" spans="1:24" customFormat="1" ht="15" x14ac:dyDescent="0.25">
      <c r="A6" s="6">
        <v>44460</v>
      </c>
      <c r="B6" s="25" t="s">
        <v>338</v>
      </c>
      <c r="C6" s="25" t="s">
        <v>255</v>
      </c>
      <c r="D6" s="25" t="s">
        <v>215</v>
      </c>
      <c r="E6" s="25" t="s">
        <v>231</v>
      </c>
      <c r="F6" s="26" t="s">
        <v>291</v>
      </c>
      <c r="G6" s="15">
        <v>1156</v>
      </c>
      <c r="H6" s="26" t="str">
        <f t="shared" ref="H6:H13" si="0">E6</f>
        <v>YUDTT</v>
      </c>
      <c r="I6" s="26" t="str">
        <f t="shared" ref="I6:I13" si="1">H6</f>
        <v>YUDTT</v>
      </c>
      <c r="J6" s="5" t="s">
        <v>138</v>
      </c>
      <c r="K6" s="9">
        <v>0.69374999999999998</v>
      </c>
      <c r="L6" s="5" t="s">
        <v>138</v>
      </c>
      <c r="M6" s="9">
        <v>0.60069444444444442</v>
      </c>
      <c r="N6" s="3"/>
      <c r="O6" s="3"/>
      <c r="P6" s="3"/>
      <c r="Q6" s="3"/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</row>
    <row r="7" spans="1:24" customFormat="1" ht="15" x14ac:dyDescent="0.25">
      <c r="A7" s="6">
        <v>44460</v>
      </c>
      <c r="B7" s="25" t="s">
        <v>338</v>
      </c>
      <c r="C7" s="25" t="s">
        <v>255</v>
      </c>
      <c r="D7" s="7" t="s">
        <v>225</v>
      </c>
      <c r="E7" s="7" t="s">
        <v>219</v>
      </c>
      <c r="F7" s="26" t="s">
        <v>291</v>
      </c>
      <c r="G7" s="15">
        <v>2200</v>
      </c>
      <c r="H7" s="26" t="str">
        <f t="shared" si="0"/>
        <v>YUBZV</v>
      </c>
      <c r="I7" s="26" t="str">
        <f t="shared" si="1"/>
        <v>YUBZV</v>
      </c>
      <c r="J7" s="3"/>
      <c r="K7" s="9">
        <v>0.69374999999999998</v>
      </c>
      <c r="L7" s="3" t="s">
        <v>138</v>
      </c>
      <c r="M7" s="9">
        <v>0.60069444444444442</v>
      </c>
      <c r="N7" s="3"/>
      <c r="O7" s="3"/>
      <c r="P7" s="3"/>
      <c r="Q7" s="3"/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24" customFormat="1" ht="15" x14ac:dyDescent="0.25">
      <c r="A8" s="6">
        <v>44460</v>
      </c>
      <c r="B8" s="25" t="s">
        <v>338</v>
      </c>
      <c r="C8" s="25" t="s">
        <v>255</v>
      </c>
      <c r="D8" s="25" t="s">
        <v>213</v>
      </c>
      <c r="E8" s="25" t="s">
        <v>226</v>
      </c>
      <c r="F8" s="26" t="s">
        <v>291</v>
      </c>
      <c r="G8" s="15">
        <v>1315</v>
      </c>
      <c r="H8" s="26" t="str">
        <f t="shared" si="0"/>
        <v>YUDEM</v>
      </c>
      <c r="I8" s="26" t="str">
        <f t="shared" si="1"/>
        <v>YUDEM</v>
      </c>
      <c r="J8" s="3"/>
      <c r="K8" s="9">
        <v>0.69374999999999998</v>
      </c>
      <c r="L8" s="3"/>
      <c r="M8" s="9">
        <v>0.60069444444444442</v>
      </c>
      <c r="N8" s="3"/>
      <c r="O8" s="3"/>
      <c r="P8" s="3"/>
      <c r="Q8" s="3"/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1:24" customFormat="1" ht="15" x14ac:dyDescent="0.25">
      <c r="A9" s="6">
        <v>44460</v>
      </c>
      <c r="B9" s="25" t="s">
        <v>338</v>
      </c>
      <c r="C9" s="25" t="s">
        <v>255</v>
      </c>
      <c r="D9" s="25" t="s">
        <v>215</v>
      </c>
      <c r="E9" s="25" t="s">
        <v>224</v>
      </c>
      <c r="F9" s="26" t="s">
        <v>291</v>
      </c>
      <c r="G9" s="15">
        <v>1025</v>
      </c>
      <c r="H9" s="26" t="str">
        <f t="shared" si="0"/>
        <v>YUDPT</v>
      </c>
      <c r="I9" s="26" t="str">
        <f t="shared" si="1"/>
        <v>YUDPT</v>
      </c>
      <c r="K9" s="9">
        <v>0.69444444444444453</v>
      </c>
      <c r="M9" s="9">
        <v>0.60138888888888886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customFormat="1" ht="15" x14ac:dyDescent="0.25">
      <c r="A10" s="6">
        <v>44460</v>
      </c>
      <c r="B10" s="25" t="s">
        <v>338</v>
      </c>
      <c r="C10" s="25" t="s">
        <v>255</v>
      </c>
      <c r="D10" s="7" t="s">
        <v>218</v>
      </c>
      <c r="E10" s="7" t="s">
        <v>216</v>
      </c>
      <c r="F10" s="26" t="s">
        <v>291</v>
      </c>
      <c r="G10" s="15">
        <v>1633</v>
      </c>
      <c r="H10" s="26" t="str">
        <f t="shared" si="0"/>
        <v>YUDPS</v>
      </c>
      <c r="I10" s="26" t="str">
        <f t="shared" si="1"/>
        <v>YUDPS</v>
      </c>
      <c r="K10" s="9">
        <v>0.73611111111111105</v>
      </c>
      <c r="M10" s="9">
        <v>0.60138888888888886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customFormat="1" ht="15" x14ac:dyDescent="0.25">
      <c r="A11" s="6">
        <v>44460</v>
      </c>
      <c r="B11" s="25" t="s">
        <v>338</v>
      </c>
      <c r="C11" s="25" t="s">
        <v>255</v>
      </c>
      <c r="D11" s="7" t="s">
        <v>220</v>
      </c>
      <c r="E11" s="7" t="s">
        <v>227</v>
      </c>
      <c r="F11" s="26" t="s">
        <v>291</v>
      </c>
      <c r="G11" s="15">
        <v>1633</v>
      </c>
      <c r="H11" s="26" t="s">
        <v>227</v>
      </c>
      <c r="I11" s="26" t="s">
        <v>227</v>
      </c>
      <c r="K11" s="9">
        <v>0.77777777777777801</v>
      </c>
      <c r="M11" s="9">
        <v>0.60138888888888886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customFormat="1" ht="15" x14ac:dyDescent="0.25">
      <c r="A12" s="6">
        <v>44460</v>
      </c>
      <c r="B12" s="25" t="s">
        <v>338</v>
      </c>
      <c r="C12" s="25" t="s">
        <v>255</v>
      </c>
      <c r="D12" s="12" t="s">
        <v>215</v>
      </c>
      <c r="E12" s="7" t="s">
        <v>221</v>
      </c>
      <c r="F12" s="26" t="s">
        <v>291</v>
      </c>
      <c r="G12" s="15">
        <v>1156</v>
      </c>
      <c r="H12" s="26" t="str">
        <f t="shared" si="0"/>
        <v>YUDNZ</v>
      </c>
      <c r="I12" s="26" t="str">
        <f t="shared" si="1"/>
        <v>YUDNZ</v>
      </c>
      <c r="K12" s="9">
        <v>0.72222222222222221</v>
      </c>
      <c r="M12" s="9">
        <v>0.6020833333333333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customFormat="1" ht="15" x14ac:dyDescent="0.25">
      <c r="A13" s="6">
        <v>44460</v>
      </c>
      <c r="B13" s="25" t="s">
        <v>338</v>
      </c>
      <c r="C13" s="25" t="s">
        <v>255</v>
      </c>
      <c r="D13" s="12" t="s">
        <v>215</v>
      </c>
      <c r="E13" s="7" t="s">
        <v>217</v>
      </c>
      <c r="F13" s="26" t="s">
        <v>291</v>
      </c>
      <c r="G13" s="15">
        <v>1156</v>
      </c>
      <c r="H13" s="26" t="str">
        <f t="shared" si="0"/>
        <v>YUFLY</v>
      </c>
      <c r="I13" s="26" t="str">
        <f t="shared" si="1"/>
        <v>YUFLY</v>
      </c>
      <c r="K13" s="9">
        <v>0.69305555555555554</v>
      </c>
      <c r="M13" s="9">
        <v>0.6020833333333333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customFormat="1" ht="15" x14ac:dyDescent="0.25">
      <c r="A14" s="6">
        <v>44460</v>
      </c>
      <c r="B14" s="25" t="s">
        <v>338</v>
      </c>
      <c r="C14" s="25" t="s">
        <v>255</v>
      </c>
      <c r="D14" s="25" t="s">
        <v>213</v>
      </c>
      <c r="E14" s="25" t="s">
        <v>223</v>
      </c>
      <c r="F14" s="26" t="s">
        <v>291</v>
      </c>
      <c r="G14" s="15">
        <v>1315</v>
      </c>
      <c r="H14" s="26" t="str">
        <f>E14</f>
        <v>YUDZZ</v>
      </c>
      <c r="I14" s="26" t="str">
        <f>H14</f>
        <v>YUDZZ</v>
      </c>
      <c r="K14" s="9">
        <v>0.69444444444444453</v>
      </c>
      <c r="M14" s="9">
        <v>0.6020833333333333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opLeftCell="S1" workbookViewId="0">
      <selection sqref="A1:X5"/>
    </sheetView>
  </sheetViews>
  <sheetFormatPr defaultRowHeight="15" x14ac:dyDescent="0.25"/>
  <cols>
    <col min="1" max="1" width="9.85546875" bestFit="1" customWidth="1"/>
    <col min="3" max="3" width="22.28515625" customWidth="1"/>
    <col min="4" max="4" width="10.140625" bestFit="1" customWidth="1"/>
    <col min="5" max="5" width="12.5703125" bestFit="1" customWidth="1"/>
    <col min="6" max="6" width="14.42578125" bestFit="1" customWidth="1"/>
    <col min="7" max="7" width="9.28515625" bestFit="1" customWidth="1"/>
    <col min="10" max="13" width="9.28515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6">
        <v>44461</v>
      </c>
      <c r="B2" s="7" t="s">
        <v>172</v>
      </c>
      <c r="C2" s="7" t="s">
        <v>61</v>
      </c>
      <c r="D2" s="7" t="s">
        <v>21</v>
      </c>
      <c r="E2" s="7" t="s">
        <v>287</v>
      </c>
      <c r="F2" s="7" t="s">
        <v>22</v>
      </c>
      <c r="G2" s="7">
        <v>70000</v>
      </c>
      <c r="H2" s="7" t="s">
        <v>65</v>
      </c>
      <c r="I2" s="7" t="s">
        <v>121</v>
      </c>
      <c r="J2" s="8">
        <v>0.48958333333333331</v>
      </c>
      <c r="K2" s="9">
        <v>0.58958333333333335</v>
      </c>
      <c r="L2" s="8">
        <v>0.25694444444444448</v>
      </c>
      <c r="M2" s="5">
        <v>0.25694444444444448</v>
      </c>
      <c r="N2" s="7" t="s">
        <v>344</v>
      </c>
      <c r="O2" s="7" t="s">
        <v>193</v>
      </c>
      <c r="P2" s="7">
        <v>329</v>
      </c>
      <c r="Q2" s="7">
        <v>401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6">
        <v>44461</v>
      </c>
      <c r="B3" s="7" t="s">
        <v>172</v>
      </c>
      <c r="C3" s="7" t="s">
        <v>35</v>
      </c>
      <c r="D3" s="7" t="s">
        <v>21</v>
      </c>
      <c r="E3" s="7" t="s">
        <v>263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0.89236111111111116</v>
      </c>
      <c r="K3" s="9">
        <v>0.87847222222222221</v>
      </c>
      <c r="L3" s="8">
        <v>0.47569444444444442</v>
      </c>
      <c r="M3" s="5">
        <v>0.47916666666666669</v>
      </c>
      <c r="N3" s="7" t="s">
        <v>351</v>
      </c>
      <c r="O3" s="3" t="s">
        <v>340</v>
      </c>
      <c r="P3" s="3">
        <v>583</v>
      </c>
      <c r="Q3" s="3">
        <v>827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x14ac:dyDescent="0.25">
      <c r="A4" s="6">
        <v>44461</v>
      </c>
      <c r="B4" s="7" t="s">
        <v>172</v>
      </c>
      <c r="C4" s="7" t="s">
        <v>32</v>
      </c>
      <c r="D4" s="7" t="s">
        <v>21</v>
      </c>
      <c r="E4" s="7" t="s">
        <v>341</v>
      </c>
      <c r="F4" s="7" t="s">
        <v>22</v>
      </c>
      <c r="G4" s="7">
        <v>70000</v>
      </c>
      <c r="H4" s="7" t="s">
        <v>33</v>
      </c>
      <c r="I4" s="7" t="s">
        <v>34</v>
      </c>
      <c r="J4" s="4">
        <v>0.71875</v>
      </c>
      <c r="K4" s="5">
        <v>0.70833333333333337</v>
      </c>
      <c r="L4" s="4">
        <v>0.51736111111111105</v>
      </c>
      <c r="M4" s="5">
        <v>0.52500000000000002</v>
      </c>
      <c r="N4" s="3" t="s">
        <v>352</v>
      </c>
      <c r="O4" s="3" t="s">
        <v>343</v>
      </c>
      <c r="P4" s="3">
        <v>194</v>
      </c>
      <c r="Q4" s="3">
        <v>735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6">
        <v>44461</v>
      </c>
      <c r="B5" s="7" t="s">
        <v>172</v>
      </c>
      <c r="C5" s="7" t="s">
        <v>41</v>
      </c>
      <c r="D5" s="7" t="s">
        <v>21</v>
      </c>
      <c r="E5" s="7" t="s">
        <v>341</v>
      </c>
      <c r="F5" s="7" t="s">
        <v>22</v>
      </c>
      <c r="G5" s="7">
        <v>70000</v>
      </c>
      <c r="H5" s="7" t="s">
        <v>42</v>
      </c>
      <c r="I5" s="7" t="s">
        <v>43</v>
      </c>
      <c r="J5" s="4">
        <v>0.92013888888888884</v>
      </c>
      <c r="K5" s="5">
        <v>0.9145833333333333</v>
      </c>
      <c r="L5" s="4">
        <v>0.73958333333333337</v>
      </c>
      <c r="M5" s="5">
        <v>0.74097222222222225</v>
      </c>
      <c r="N5" s="3" t="s">
        <v>354</v>
      </c>
      <c r="O5" s="3" t="s">
        <v>353</v>
      </c>
      <c r="P5" s="3">
        <v>34</v>
      </c>
      <c r="Q5" s="3">
        <v>572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6">
        <v>44461</v>
      </c>
      <c r="B6" s="25" t="s">
        <v>338</v>
      </c>
      <c r="C6" s="25" t="s">
        <v>350</v>
      </c>
      <c r="D6" s="25" t="s">
        <v>215</v>
      </c>
      <c r="E6" s="25" t="s">
        <v>231</v>
      </c>
      <c r="F6" s="26" t="s">
        <v>349</v>
      </c>
      <c r="G6" s="15">
        <v>1156</v>
      </c>
      <c r="H6" s="26" t="str">
        <f t="shared" ref="H6:H13" si="0">E6</f>
        <v>YUDTT</v>
      </c>
      <c r="I6" s="26" t="str">
        <f t="shared" ref="I6:I13" si="1">H6</f>
        <v>YUDTT</v>
      </c>
      <c r="J6" s="9" t="s">
        <v>138</v>
      </c>
      <c r="K6" s="9" t="s">
        <v>138</v>
      </c>
      <c r="L6" s="5" t="s">
        <v>138</v>
      </c>
      <c r="M6" s="9">
        <v>0.36944444444444446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6">
        <v>44461</v>
      </c>
      <c r="B7" s="25" t="s">
        <v>338</v>
      </c>
      <c r="C7" s="25" t="s">
        <v>350</v>
      </c>
      <c r="D7" s="7" t="s">
        <v>225</v>
      </c>
      <c r="E7" s="7" t="s">
        <v>219</v>
      </c>
      <c r="F7" s="26" t="s">
        <v>349</v>
      </c>
      <c r="G7" s="15">
        <v>2200</v>
      </c>
      <c r="H7" s="26" t="str">
        <f t="shared" si="0"/>
        <v>YUBZV</v>
      </c>
      <c r="I7" s="26" t="str">
        <f t="shared" si="1"/>
        <v>YUBZV</v>
      </c>
      <c r="J7" s="9" t="s">
        <v>138</v>
      </c>
      <c r="K7" s="9" t="s">
        <v>138</v>
      </c>
      <c r="L7" s="3" t="s">
        <v>138</v>
      </c>
      <c r="M7" s="9">
        <v>0.37013888888888885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6">
        <v>44461</v>
      </c>
      <c r="B8" s="25" t="s">
        <v>338</v>
      </c>
      <c r="C8" s="25" t="s">
        <v>350</v>
      </c>
      <c r="D8" s="25" t="s">
        <v>213</v>
      </c>
      <c r="E8" s="25" t="s">
        <v>226</v>
      </c>
      <c r="F8" s="26" t="s">
        <v>349</v>
      </c>
      <c r="G8" s="15">
        <v>1315</v>
      </c>
      <c r="H8" s="26" t="str">
        <f t="shared" si="0"/>
        <v>YUDEM</v>
      </c>
      <c r="I8" s="26" t="str">
        <f t="shared" si="1"/>
        <v>YUDEM</v>
      </c>
      <c r="J8" s="9" t="s">
        <v>138</v>
      </c>
      <c r="K8" s="9" t="s">
        <v>138</v>
      </c>
      <c r="L8" s="3" t="s">
        <v>138</v>
      </c>
      <c r="M8" s="9">
        <v>0.4597222222222222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6">
        <v>44461</v>
      </c>
      <c r="B9" s="25" t="s">
        <v>338</v>
      </c>
      <c r="C9" s="25" t="s">
        <v>350</v>
      </c>
      <c r="D9" s="25" t="s">
        <v>215</v>
      </c>
      <c r="E9" s="25" t="s">
        <v>224</v>
      </c>
      <c r="F9" s="26" t="s">
        <v>349</v>
      </c>
      <c r="G9" s="15">
        <v>1025</v>
      </c>
      <c r="H9" s="26" t="str">
        <f t="shared" si="0"/>
        <v>YUDPT</v>
      </c>
      <c r="I9" s="26" t="str">
        <f t="shared" si="1"/>
        <v>YUDPT</v>
      </c>
      <c r="J9" s="9" t="s">
        <v>138</v>
      </c>
      <c r="K9" s="9" t="s">
        <v>138</v>
      </c>
      <c r="L9" s="3" t="s">
        <v>138</v>
      </c>
      <c r="M9" s="9">
        <v>0.46111111111111108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6">
        <v>44461</v>
      </c>
      <c r="B10" s="25" t="s">
        <v>338</v>
      </c>
      <c r="C10" s="25" t="s">
        <v>350</v>
      </c>
      <c r="D10" s="7" t="s">
        <v>218</v>
      </c>
      <c r="E10" s="7" t="s">
        <v>216</v>
      </c>
      <c r="F10" s="26" t="s">
        <v>349</v>
      </c>
      <c r="G10" s="15">
        <v>1633</v>
      </c>
      <c r="H10" s="26" t="str">
        <f t="shared" si="0"/>
        <v>YUDPS</v>
      </c>
      <c r="I10" s="26" t="str">
        <f t="shared" si="1"/>
        <v>YUDPS</v>
      </c>
      <c r="J10" s="9" t="s">
        <v>138</v>
      </c>
      <c r="K10" s="9" t="s">
        <v>138</v>
      </c>
      <c r="L10" s="3" t="s">
        <v>138</v>
      </c>
      <c r="M10" s="9">
        <v>0.51458333333333328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6">
        <v>44461</v>
      </c>
      <c r="B11" s="25" t="s">
        <v>338</v>
      </c>
      <c r="C11" s="25" t="s">
        <v>350</v>
      </c>
      <c r="D11" s="7" t="s">
        <v>220</v>
      </c>
      <c r="E11" s="7" t="s">
        <v>227</v>
      </c>
      <c r="F11" s="26" t="s">
        <v>349</v>
      </c>
      <c r="G11" s="15">
        <v>1633</v>
      </c>
      <c r="H11" s="26" t="s">
        <v>227</v>
      </c>
      <c r="I11" s="26" t="s">
        <v>227</v>
      </c>
      <c r="J11" s="9" t="s">
        <v>138</v>
      </c>
      <c r="K11" s="9" t="s">
        <v>138</v>
      </c>
      <c r="L11" s="3" t="s">
        <v>138</v>
      </c>
      <c r="M11" s="9">
        <v>0.4604166666666667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6">
        <v>44461</v>
      </c>
      <c r="B12" s="25" t="s">
        <v>338</v>
      </c>
      <c r="C12" s="25" t="s">
        <v>350</v>
      </c>
      <c r="D12" s="7" t="s">
        <v>215</v>
      </c>
      <c r="E12" s="7" t="s">
        <v>221</v>
      </c>
      <c r="F12" s="26" t="s">
        <v>349</v>
      </c>
      <c r="G12" s="15">
        <v>1156</v>
      </c>
      <c r="H12" s="26" t="str">
        <f t="shared" si="0"/>
        <v>YUDNZ</v>
      </c>
      <c r="I12" s="26" t="str">
        <f t="shared" si="1"/>
        <v>YUDNZ</v>
      </c>
      <c r="J12" s="9" t="s">
        <v>138</v>
      </c>
      <c r="K12" s="9" t="s">
        <v>138</v>
      </c>
      <c r="L12" s="3" t="s">
        <v>138</v>
      </c>
      <c r="M12" s="9">
        <v>0.45833333333333331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6">
        <v>44461</v>
      </c>
      <c r="B13" s="25" t="s">
        <v>338</v>
      </c>
      <c r="C13" s="25" t="s">
        <v>350</v>
      </c>
      <c r="D13" s="7" t="s">
        <v>215</v>
      </c>
      <c r="E13" s="7" t="s">
        <v>217</v>
      </c>
      <c r="F13" s="26" t="s">
        <v>349</v>
      </c>
      <c r="G13" s="15">
        <v>1156</v>
      </c>
      <c r="H13" s="26" t="str">
        <f t="shared" si="0"/>
        <v>YUFLY</v>
      </c>
      <c r="I13" s="26" t="str">
        <f t="shared" si="1"/>
        <v>YUFLY</v>
      </c>
      <c r="J13" s="9" t="s">
        <v>138</v>
      </c>
      <c r="K13" s="9" t="s">
        <v>138</v>
      </c>
      <c r="L13" s="3" t="s">
        <v>138</v>
      </c>
      <c r="M13" s="9">
        <v>0.46527777777777773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6">
        <v>44461</v>
      </c>
      <c r="B14" s="25" t="s">
        <v>338</v>
      </c>
      <c r="C14" s="25" t="s">
        <v>350</v>
      </c>
      <c r="D14" s="25" t="s">
        <v>213</v>
      </c>
      <c r="E14" s="25" t="s">
        <v>223</v>
      </c>
      <c r="F14" s="26" t="s">
        <v>349</v>
      </c>
      <c r="G14" s="15">
        <v>1315</v>
      </c>
      <c r="H14" s="26" t="str">
        <f>E14</f>
        <v>YUDZZ</v>
      </c>
      <c r="I14" s="26" t="str">
        <f>H14</f>
        <v>YUDZZ</v>
      </c>
      <c r="J14" s="9" t="s">
        <v>138</v>
      </c>
      <c r="K14" s="9" t="s">
        <v>138</v>
      </c>
      <c r="L14" s="3" t="s">
        <v>138</v>
      </c>
      <c r="M14" s="9">
        <v>0.36805555555555558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s="3" customFormat="1" ht="12.75" x14ac:dyDescent="0.2">
      <c r="A15" s="6">
        <v>44461</v>
      </c>
      <c r="B15" s="25" t="s">
        <v>172</v>
      </c>
      <c r="C15" s="25" t="s">
        <v>345</v>
      </c>
      <c r="D15" s="7" t="s">
        <v>21</v>
      </c>
      <c r="E15" s="7" t="s">
        <v>347</v>
      </c>
      <c r="F15" s="26" t="s">
        <v>346</v>
      </c>
      <c r="G15" s="15">
        <v>70000</v>
      </c>
      <c r="H15" s="26" t="s">
        <v>342</v>
      </c>
      <c r="I15" s="26" t="s">
        <v>348</v>
      </c>
      <c r="J15" s="5">
        <v>0.45833333333333331</v>
      </c>
      <c r="K15" s="9">
        <v>0.48819444444444443</v>
      </c>
      <c r="L15" s="5">
        <v>0.58333333333333337</v>
      </c>
      <c r="M15" s="5">
        <v>0.62152777777777779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34"/>
      <c r="B16" s="25"/>
      <c r="C16" s="25"/>
      <c r="D16" s="7"/>
      <c r="E16" s="7"/>
      <c r="F16" s="26"/>
      <c r="G16" s="15"/>
      <c r="J16" s="35"/>
      <c r="L16" s="35"/>
      <c r="M16" s="35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zoomScaleNormal="100" workbookViewId="0">
      <selection activeCell="A5" sqref="A5"/>
    </sheetView>
  </sheetViews>
  <sheetFormatPr defaultRowHeight="15" x14ac:dyDescent="0.25"/>
  <cols>
    <col min="2" max="2" width="17.140625" customWidth="1"/>
    <col min="3" max="3" width="14.42578125" customWidth="1"/>
    <col min="5" max="5" width="12.42578125" bestFit="1" customWidth="1"/>
    <col min="6" max="6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44462</v>
      </c>
      <c r="B2" s="7" t="s">
        <v>20</v>
      </c>
      <c r="C2" s="7" t="s">
        <v>23</v>
      </c>
      <c r="D2" s="7" t="s">
        <v>21</v>
      </c>
      <c r="E2" s="7" t="s">
        <v>263</v>
      </c>
      <c r="F2" s="7" t="s">
        <v>22</v>
      </c>
      <c r="G2" s="7">
        <v>70000</v>
      </c>
      <c r="H2" s="7" t="s">
        <v>24</v>
      </c>
      <c r="I2" s="7" t="s">
        <v>25</v>
      </c>
      <c r="J2" s="8">
        <v>0.67013888888888884</v>
      </c>
      <c r="K2" s="9">
        <v>0.67013888888888884</v>
      </c>
      <c r="L2" s="8">
        <v>0.27083333333333331</v>
      </c>
      <c r="M2" s="9">
        <v>0.27638888888888885</v>
      </c>
      <c r="N2" s="7" t="s">
        <v>296</v>
      </c>
      <c r="O2" s="7" t="s">
        <v>355</v>
      </c>
      <c r="P2" s="7">
        <v>516</v>
      </c>
      <c r="Q2" s="7">
        <v>175</v>
      </c>
      <c r="R2" s="7">
        <v>0</v>
      </c>
      <c r="S2" s="7">
        <v>0</v>
      </c>
      <c r="T2" s="7">
        <v>0</v>
      </c>
      <c r="U2" s="7">
        <v>0</v>
      </c>
    </row>
    <row r="3" spans="1:21" x14ac:dyDescent="0.25">
      <c r="A3" s="6">
        <v>44462</v>
      </c>
      <c r="B3" s="7" t="s">
        <v>20</v>
      </c>
      <c r="C3" s="7" t="s">
        <v>69</v>
      </c>
      <c r="D3" s="7" t="s">
        <v>21</v>
      </c>
      <c r="E3" s="7" t="s">
        <v>341</v>
      </c>
      <c r="F3" s="7" t="s">
        <v>22</v>
      </c>
      <c r="G3" s="7">
        <v>70000</v>
      </c>
      <c r="H3" s="7" t="s">
        <v>54</v>
      </c>
      <c r="I3" s="7" t="s">
        <v>55</v>
      </c>
      <c r="J3" s="8">
        <v>0.67361111111111116</v>
      </c>
      <c r="K3" s="9">
        <v>0.68263888888888891</v>
      </c>
      <c r="L3" s="8">
        <v>0.46875</v>
      </c>
      <c r="M3" s="9">
        <v>0.47152777777777777</v>
      </c>
      <c r="N3" s="7" t="s">
        <v>357</v>
      </c>
      <c r="O3" s="7" t="s">
        <v>356</v>
      </c>
      <c r="P3" s="7">
        <v>355</v>
      </c>
      <c r="Q3" s="7">
        <v>352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>
        <v>44462</v>
      </c>
      <c r="B4" s="3" t="s">
        <v>87</v>
      </c>
      <c r="C4" s="3" t="s">
        <v>62</v>
      </c>
      <c r="D4" s="3" t="s">
        <v>21</v>
      </c>
      <c r="E4" s="3" t="str">
        <f>E3</f>
        <v>HA-LYT</v>
      </c>
      <c r="F4" s="3" t="s">
        <v>22</v>
      </c>
      <c r="G4" s="10">
        <v>70000</v>
      </c>
      <c r="H4" s="3" t="s">
        <v>64</v>
      </c>
      <c r="I4" s="3" t="s">
        <v>63</v>
      </c>
      <c r="J4" s="4">
        <v>0.90972222222222221</v>
      </c>
      <c r="K4" s="5">
        <v>0.9243055555555556</v>
      </c>
      <c r="L4" s="4">
        <v>0.69444444444444453</v>
      </c>
      <c r="M4" s="5">
        <v>0.71597222222222223</v>
      </c>
      <c r="N4" s="3" t="s">
        <v>359</v>
      </c>
      <c r="O4" s="3" t="s">
        <v>196</v>
      </c>
      <c r="P4" s="3">
        <v>579</v>
      </c>
      <c r="Q4" s="3">
        <v>649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>
        <v>44462</v>
      </c>
      <c r="B5" s="6" t="s">
        <v>20</v>
      </c>
      <c r="C5" s="7" t="s">
        <v>29</v>
      </c>
      <c r="D5" s="7" t="s">
        <v>21</v>
      </c>
      <c r="E5" s="7" t="s">
        <v>263</v>
      </c>
      <c r="F5" s="7" t="s">
        <v>22</v>
      </c>
      <c r="G5" s="7">
        <v>70000</v>
      </c>
      <c r="H5" s="7" t="s">
        <v>30</v>
      </c>
      <c r="I5" s="7" t="s">
        <v>31</v>
      </c>
      <c r="J5" s="8">
        <v>0.90277777777777779</v>
      </c>
      <c r="K5" s="9">
        <v>0.93888888888888899</v>
      </c>
      <c r="L5" s="8">
        <v>0.70833333333333337</v>
      </c>
      <c r="M5" s="9">
        <v>0.74375000000000002</v>
      </c>
      <c r="N5" s="7" t="s">
        <v>94</v>
      </c>
      <c r="O5" s="3" t="s">
        <v>358</v>
      </c>
      <c r="P5" s="7">
        <v>775</v>
      </c>
      <c r="Q5" s="7">
        <v>821</v>
      </c>
      <c r="R5" s="7">
        <v>0</v>
      </c>
      <c r="S5" s="7">
        <v>0</v>
      </c>
      <c r="T5" s="7">
        <v>0</v>
      </c>
      <c r="U5" s="7">
        <v>0</v>
      </c>
    </row>
    <row r="6" spans="1:21" x14ac:dyDescent="0.25">
      <c r="A6" s="6"/>
      <c r="B6" s="25"/>
      <c r="C6" s="25"/>
      <c r="D6" s="25"/>
      <c r="E6" s="25"/>
      <c r="F6" s="26"/>
      <c r="G6" s="15"/>
      <c r="H6" s="26"/>
      <c r="I6" s="26"/>
      <c r="J6" s="8"/>
      <c r="K6" s="9"/>
      <c r="L6" s="8"/>
      <c r="M6" s="9"/>
      <c r="N6" s="7"/>
      <c r="O6" s="7"/>
      <c r="P6" s="7"/>
      <c r="Q6" s="7"/>
      <c r="R6" s="7"/>
      <c r="S6" s="7"/>
      <c r="T6" s="7"/>
      <c r="U6" s="7"/>
    </row>
    <row r="7" spans="1:21" x14ac:dyDescent="0.25">
      <c r="A7" s="6"/>
      <c r="B7" s="25"/>
      <c r="C7" s="25"/>
      <c r="D7" s="25"/>
      <c r="E7" s="25"/>
      <c r="F7" s="26"/>
      <c r="G7" s="15"/>
      <c r="H7" s="26"/>
      <c r="I7" s="26"/>
      <c r="J7" s="8"/>
      <c r="K7" s="9"/>
      <c r="L7" s="8"/>
      <c r="M7" s="9"/>
      <c r="N7" s="7"/>
      <c r="O7" s="7"/>
      <c r="P7" s="7"/>
      <c r="Q7" s="7"/>
      <c r="R7" s="7"/>
      <c r="S7" s="7"/>
      <c r="T7" s="7"/>
      <c r="U7" s="7"/>
    </row>
    <row r="8" spans="1:21" x14ac:dyDescent="0.25">
      <c r="A8" s="6"/>
      <c r="B8" s="25"/>
      <c r="C8" s="25"/>
      <c r="D8" s="7"/>
      <c r="E8" s="7"/>
      <c r="F8" s="26"/>
      <c r="G8" s="15"/>
      <c r="H8" s="26"/>
      <c r="I8" s="26"/>
      <c r="J8" s="8"/>
      <c r="K8" s="9"/>
      <c r="L8" s="8"/>
      <c r="M8" s="9"/>
      <c r="N8" s="7"/>
      <c r="O8" s="7"/>
      <c r="P8" s="7"/>
      <c r="Q8" s="7"/>
      <c r="R8" s="7"/>
      <c r="S8" s="7"/>
      <c r="T8" s="7"/>
      <c r="U8" s="7"/>
    </row>
    <row r="9" spans="1:21" x14ac:dyDescent="0.25">
      <c r="A9" s="6"/>
      <c r="B9" s="25"/>
      <c r="C9" s="25"/>
      <c r="D9" s="25"/>
      <c r="E9" s="25"/>
      <c r="F9" s="26"/>
      <c r="G9" s="15"/>
      <c r="H9" s="26"/>
      <c r="I9" s="26"/>
      <c r="J9" s="8"/>
      <c r="K9" s="9"/>
      <c r="L9" s="8"/>
      <c r="M9" s="9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6"/>
      <c r="B10" s="25"/>
      <c r="C10" s="25"/>
      <c r="D10" s="25"/>
      <c r="E10" s="25"/>
      <c r="F10" s="26"/>
      <c r="G10" s="15"/>
      <c r="H10" s="26"/>
      <c r="I10" s="26"/>
      <c r="J10" s="8"/>
      <c r="K10" s="9"/>
      <c r="L10" s="8"/>
      <c r="M10" s="9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6"/>
      <c r="B11" s="25"/>
      <c r="C11" s="25"/>
      <c r="D11" s="7"/>
      <c r="E11" s="7"/>
      <c r="F11" s="26"/>
      <c r="G11" s="15"/>
      <c r="H11" s="26"/>
      <c r="I11" s="26"/>
      <c r="J11" s="8"/>
      <c r="K11" s="9"/>
      <c r="L11" s="8"/>
      <c r="M11" s="9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6"/>
      <c r="B12" s="25"/>
      <c r="C12" s="25"/>
      <c r="D12" s="7"/>
      <c r="E12" s="7"/>
      <c r="F12" s="26"/>
      <c r="G12" s="15"/>
      <c r="H12" s="26"/>
      <c r="I12" s="26"/>
      <c r="J12" s="8"/>
      <c r="K12" s="9"/>
      <c r="L12" s="8"/>
      <c r="M12" s="9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6"/>
      <c r="B13" s="24"/>
      <c r="C13" s="25"/>
      <c r="D13" s="12"/>
      <c r="E13" s="7"/>
      <c r="F13" s="26"/>
      <c r="G13" s="15"/>
      <c r="H13" s="26"/>
      <c r="I13" s="26"/>
      <c r="J13" s="8"/>
      <c r="K13" s="9"/>
      <c r="L13" s="8"/>
      <c r="M13" s="9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6"/>
      <c r="B14" s="24"/>
      <c r="C14" s="25"/>
      <c r="D14" s="12"/>
      <c r="E14" s="7"/>
      <c r="F14" s="26"/>
      <c r="G14" s="15"/>
      <c r="H14" s="26"/>
      <c r="I14" s="26"/>
      <c r="J14" s="8"/>
      <c r="K14" s="9"/>
      <c r="L14" s="8"/>
      <c r="M14" s="9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6"/>
      <c r="B15" s="24"/>
      <c r="C15" s="25"/>
      <c r="D15" s="12"/>
      <c r="E15" s="7"/>
      <c r="F15" s="26"/>
      <c r="G15" s="15"/>
      <c r="H15" s="26"/>
      <c r="I15" s="26"/>
      <c r="J15" s="8"/>
      <c r="K15" s="9"/>
      <c r="L15" s="8"/>
      <c r="M15" s="9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F16" s="26"/>
    </row>
    <row r="17" spans="1:21" x14ac:dyDescent="0.25">
      <c r="A17" s="6"/>
      <c r="B17" s="25"/>
      <c r="C17" s="25"/>
      <c r="D17" s="25"/>
      <c r="E17" s="25"/>
      <c r="F17" s="26"/>
      <c r="G17" s="15"/>
      <c r="H17" s="26"/>
      <c r="I17" s="26"/>
      <c r="J17" s="8"/>
      <c r="K17" s="9"/>
      <c r="L17" s="8"/>
      <c r="M17" s="9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6"/>
      <c r="B18" s="25"/>
      <c r="C18" s="25"/>
      <c r="D18" s="25"/>
      <c r="E18" s="25"/>
      <c r="F18" s="26"/>
      <c r="G18" s="15"/>
      <c r="H18" s="26"/>
      <c r="I18" s="26"/>
      <c r="J18" s="8"/>
      <c r="K18" s="9"/>
      <c r="L18" s="8"/>
      <c r="M18" s="9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6"/>
      <c r="B19" s="25"/>
      <c r="C19" s="25"/>
      <c r="D19" s="7"/>
      <c r="E19" s="7"/>
      <c r="F19" s="26"/>
      <c r="G19" s="15"/>
      <c r="H19" s="26"/>
      <c r="I19" s="26"/>
      <c r="J19" s="8"/>
      <c r="K19" s="9"/>
      <c r="L19" s="8"/>
      <c r="M19" s="9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6"/>
      <c r="B20" s="25"/>
      <c r="C20" s="25"/>
      <c r="D20" s="25"/>
      <c r="E20" s="25"/>
      <c r="F20" s="26"/>
      <c r="G20" s="15"/>
      <c r="H20" s="26"/>
      <c r="I20" s="26"/>
      <c r="J20" s="8"/>
      <c r="K20" s="9"/>
      <c r="L20" s="8"/>
      <c r="M20" s="9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6"/>
      <c r="B21" s="25"/>
      <c r="C21" s="25"/>
      <c r="D21" s="25"/>
      <c r="E21" s="25"/>
      <c r="F21" s="26"/>
      <c r="G21" s="15"/>
      <c r="H21" s="26"/>
      <c r="I21" s="26"/>
      <c r="J21" s="8"/>
      <c r="K21" s="9"/>
      <c r="L21" s="8"/>
      <c r="M21" s="9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6"/>
      <c r="B22" s="25"/>
      <c r="C22" s="25"/>
      <c r="D22" s="7"/>
      <c r="E22" s="7"/>
      <c r="F22" s="26"/>
      <c r="G22" s="15"/>
      <c r="H22" s="26"/>
      <c r="I22" s="26"/>
      <c r="J22" s="8"/>
      <c r="K22" s="9"/>
      <c r="L22" s="8"/>
      <c r="M22" s="9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6"/>
      <c r="B23" s="25"/>
      <c r="C23" s="25"/>
      <c r="D23" s="7"/>
      <c r="E23" s="7"/>
      <c r="F23" s="26"/>
      <c r="G23" s="15"/>
      <c r="H23" s="26"/>
      <c r="I23" s="26"/>
      <c r="J23" s="8"/>
      <c r="K23" s="9"/>
      <c r="L23" s="8"/>
      <c r="M23" s="9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6"/>
      <c r="B24" s="24"/>
      <c r="C24" s="25"/>
      <c r="D24" s="12"/>
      <c r="E24" s="7"/>
      <c r="F24" s="26"/>
      <c r="G24" s="15"/>
      <c r="H24" s="26"/>
      <c r="I24" s="26"/>
      <c r="J24" s="8"/>
      <c r="K24" s="9"/>
      <c r="L24" s="8"/>
      <c r="M24" s="9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6"/>
      <c r="B25" s="24"/>
      <c r="C25" s="25"/>
      <c r="D25" s="12"/>
      <c r="E25" s="7"/>
      <c r="F25" s="26"/>
      <c r="G25" s="15"/>
      <c r="H25" s="26"/>
      <c r="I25" s="26"/>
      <c r="J25" s="8"/>
      <c r="K25" s="9"/>
      <c r="L25" s="8"/>
      <c r="M25" s="9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6"/>
      <c r="B26" s="24"/>
      <c r="C26" s="25"/>
      <c r="D26" s="12"/>
      <c r="E26" s="7"/>
      <c r="F26" s="26"/>
      <c r="G26" s="15"/>
      <c r="H26" s="26"/>
      <c r="I26" s="26"/>
      <c r="J26" s="8"/>
      <c r="K26" s="9"/>
      <c r="L26" s="8"/>
      <c r="M26" s="9"/>
      <c r="N26" s="7"/>
      <c r="O26" s="7"/>
      <c r="P26" s="7"/>
      <c r="Q26" s="7"/>
      <c r="R26" s="7"/>
      <c r="S26" s="7"/>
      <c r="T26" s="7"/>
      <c r="U26" s="7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cols>
    <col min="2" max="2" width="10.85546875" customWidth="1"/>
    <col min="3" max="3" width="12.28515625" customWidth="1"/>
    <col min="5" max="5" width="13.5703125" customWidth="1"/>
    <col min="6" max="6" width="12" customWidth="1"/>
    <col min="14" max="14" width="14.28515625" customWidth="1"/>
    <col min="15" max="15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44463</v>
      </c>
      <c r="B2" s="7" t="s">
        <v>20</v>
      </c>
      <c r="C2" s="7" t="s">
        <v>32</v>
      </c>
      <c r="D2" s="7" t="s">
        <v>21</v>
      </c>
      <c r="E2" s="7" t="s">
        <v>341</v>
      </c>
      <c r="F2" s="7" t="s">
        <v>22</v>
      </c>
      <c r="G2" s="7">
        <v>70000</v>
      </c>
      <c r="H2" s="7" t="s">
        <v>33</v>
      </c>
      <c r="I2" s="7" t="s">
        <v>34</v>
      </c>
      <c r="J2" s="8">
        <v>0.45833333333333331</v>
      </c>
      <c r="K2" s="9">
        <v>0.44930555555555557</v>
      </c>
      <c r="L2" s="8">
        <v>0.25694444444444448</v>
      </c>
      <c r="M2" s="9">
        <v>0.25555555555555559</v>
      </c>
      <c r="N2" s="7" t="s">
        <v>364</v>
      </c>
      <c r="O2" s="7" t="s">
        <v>362</v>
      </c>
      <c r="P2" s="7">
        <v>632</v>
      </c>
      <c r="Q2" s="7">
        <v>558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6">
        <v>44463</v>
      </c>
      <c r="B3" s="6" t="s">
        <v>20</v>
      </c>
      <c r="C3" s="7" t="s">
        <v>35</v>
      </c>
      <c r="D3" s="7" t="s">
        <v>21</v>
      </c>
      <c r="E3" s="7" t="s">
        <v>360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0.4861111111111111</v>
      </c>
      <c r="K3" s="9">
        <v>0.49236111111111108</v>
      </c>
      <c r="L3" s="8">
        <v>0.29166666666666669</v>
      </c>
      <c r="M3" s="9">
        <v>0.28958333333333336</v>
      </c>
      <c r="N3" s="7" t="s">
        <v>313</v>
      </c>
      <c r="O3" s="7" t="s">
        <v>363</v>
      </c>
      <c r="P3" s="7">
        <v>714</v>
      </c>
      <c r="Q3" s="7">
        <v>859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>
        <v>44463</v>
      </c>
      <c r="B4" s="7" t="s">
        <v>20</v>
      </c>
      <c r="C4" s="7" t="s">
        <v>38</v>
      </c>
      <c r="D4" s="7" t="s">
        <v>21</v>
      </c>
      <c r="E4" s="7" t="s">
        <v>341</v>
      </c>
      <c r="F4" s="7" t="s">
        <v>22</v>
      </c>
      <c r="G4" s="7">
        <v>70000</v>
      </c>
      <c r="H4" s="7" t="s">
        <v>39</v>
      </c>
      <c r="I4" s="7" t="s">
        <v>40</v>
      </c>
      <c r="J4" s="8">
        <v>0.71875</v>
      </c>
      <c r="K4" s="9">
        <v>0.74930555555555556</v>
      </c>
      <c r="L4" s="8">
        <v>0.48958333333333331</v>
      </c>
      <c r="M4" s="9">
        <v>0.52569444444444446</v>
      </c>
      <c r="N4" s="7" t="s">
        <v>368</v>
      </c>
      <c r="O4" s="7" t="s">
        <v>365</v>
      </c>
      <c r="P4" s="7">
        <v>792</v>
      </c>
      <c r="Q4" s="7">
        <v>857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>
        <v>44463</v>
      </c>
      <c r="B5" s="7" t="s">
        <v>20</v>
      </c>
      <c r="C5" s="7" t="s">
        <v>49</v>
      </c>
      <c r="D5" s="7" t="s">
        <v>21</v>
      </c>
      <c r="E5" s="7" t="s">
        <v>361</v>
      </c>
      <c r="F5" s="7" t="s">
        <v>22</v>
      </c>
      <c r="G5" s="7">
        <v>70000</v>
      </c>
      <c r="H5" s="7" t="s">
        <v>50</v>
      </c>
      <c r="I5" s="7" t="s">
        <v>51</v>
      </c>
      <c r="J5" s="8">
        <v>0.67361111111111116</v>
      </c>
      <c r="K5" s="9">
        <v>0.66736111111111107</v>
      </c>
      <c r="L5" s="8">
        <v>0.50694444444444442</v>
      </c>
      <c r="M5" s="9">
        <v>0.5229166666666667</v>
      </c>
      <c r="N5" s="7" t="s">
        <v>367</v>
      </c>
      <c r="O5" s="7" t="s">
        <v>366</v>
      </c>
      <c r="P5" s="7">
        <v>585</v>
      </c>
      <c r="Q5" s="7">
        <v>1123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>
        <v>44463</v>
      </c>
      <c r="B6" s="7" t="s">
        <v>20</v>
      </c>
      <c r="C6" s="7" t="s">
        <v>41</v>
      </c>
      <c r="D6" s="7" t="s">
        <v>21</v>
      </c>
      <c r="E6" s="7" t="s">
        <v>341</v>
      </c>
      <c r="F6" s="7" t="s">
        <v>22</v>
      </c>
      <c r="G6" s="7">
        <v>70000</v>
      </c>
      <c r="H6" s="7" t="s">
        <v>42</v>
      </c>
      <c r="I6" s="7" t="s">
        <v>43</v>
      </c>
      <c r="J6" s="4">
        <v>0.92013888888888884</v>
      </c>
      <c r="K6" s="9">
        <v>0.94930555555555562</v>
      </c>
      <c r="L6" s="4">
        <v>0.73958333333333337</v>
      </c>
      <c r="M6" s="5">
        <v>0.77777777777777779</v>
      </c>
      <c r="N6" s="7" t="s">
        <v>370</v>
      </c>
      <c r="O6" s="7" t="s">
        <v>369</v>
      </c>
      <c r="P6" s="7">
        <v>641</v>
      </c>
      <c r="Q6" s="3">
        <v>999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M6" sqref="M6"/>
    </sheetView>
  </sheetViews>
  <sheetFormatPr defaultRowHeight="15" x14ac:dyDescent="0.25"/>
  <cols>
    <col min="1" max="1" width="10.140625" bestFit="1" customWidth="1"/>
    <col min="2" max="2" width="13.28515625" customWidth="1"/>
    <col min="3" max="3" width="14" customWidth="1"/>
    <col min="4" max="4" width="9.5703125" customWidth="1"/>
    <col min="5" max="5" width="10" customWidth="1"/>
    <col min="6" max="6" width="13" customWidth="1"/>
    <col min="8" max="8" width="10.85546875" customWidth="1"/>
    <col min="9" max="9" width="10.5703125" customWidth="1"/>
    <col min="14" max="14" width="10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x14ac:dyDescent="0.25">
      <c r="A2" s="6">
        <v>44464</v>
      </c>
      <c r="B2" s="7" t="s">
        <v>20</v>
      </c>
      <c r="C2" s="7" t="s">
        <v>66</v>
      </c>
      <c r="D2" s="7" t="s">
        <v>21</v>
      </c>
      <c r="E2" s="7" t="s">
        <v>361</v>
      </c>
      <c r="F2" s="7" t="s">
        <v>22</v>
      </c>
      <c r="G2" s="7">
        <v>70000</v>
      </c>
      <c r="H2" s="7" t="s">
        <v>67</v>
      </c>
      <c r="I2" s="7" t="s">
        <v>68</v>
      </c>
      <c r="J2" s="8">
        <v>0.375</v>
      </c>
      <c r="K2" s="9">
        <v>0.37986111111111115</v>
      </c>
      <c r="L2" s="8">
        <v>0.25694444444444448</v>
      </c>
      <c r="M2" s="9">
        <v>0.26458333333333334</v>
      </c>
      <c r="N2" s="7" t="s">
        <v>340</v>
      </c>
      <c r="O2" s="7" t="s">
        <v>371</v>
      </c>
      <c r="P2" s="7">
        <v>525</v>
      </c>
      <c r="Q2" s="7">
        <v>1078</v>
      </c>
      <c r="R2" s="7">
        <v>0</v>
      </c>
      <c r="S2" s="7">
        <v>0</v>
      </c>
      <c r="T2" s="7">
        <v>0</v>
      </c>
      <c r="U2" s="7"/>
    </row>
    <row r="3" spans="1:21" x14ac:dyDescent="0.25">
      <c r="A3" s="6">
        <v>44464</v>
      </c>
      <c r="B3" s="7" t="s">
        <v>20</v>
      </c>
      <c r="C3" s="7" t="s">
        <v>70</v>
      </c>
      <c r="D3" s="7" t="s">
        <v>21</v>
      </c>
      <c r="E3" s="7" t="s">
        <v>341</v>
      </c>
      <c r="F3" s="7" t="s">
        <v>22</v>
      </c>
      <c r="G3" s="7">
        <v>70000</v>
      </c>
      <c r="H3" s="7" t="s">
        <v>52</v>
      </c>
      <c r="I3" s="7" t="s">
        <v>53</v>
      </c>
      <c r="J3" s="8">
        <v>0.4375</v>
      </c>
      <c r="K3" s="9">
        <v>0.4548611111111111</v>
      </c>
      <c r="L3" s="8">
        <v>0.2638888888888889</v>
      </c>
      <c r="M3" s="9">
        <v>0.2902777777777778</v>
      </c>
      <c r="N3" s="7" t="s">
        <v>374</v>
      </c>
      <c r="O3" s="7" t="s">
        <v>372</v>
      </c>
      <c r="P3" s="7">
        <v>854</v>
      </c>
      <c r="Q3" s="7">
        <v>913</v>
      </c>
      <c r="R3" s="7">
        <v>0</v>
      </c>
      <c r="S3" s="7">
        <v>0</v>
      </c>
      <c r="T3" s="7">
        <v>0</v>
      </c>
      <c r="U3" s="7"/>
    </row>
    <row r="4" spans="1:21" x14ac:dyDescent="0.25">
      <c r="A4" s="6">
        <v>44464</v>
      </c>
      <c r="B4" s="7" t="s">
        <v>20</v>
      </c>
      <c r="C4" s="7" t="s">
        <v>23</v>
      </c>
      <c r="D4" s="7" t="s">
        <v>21</v>
      </c>
      <c r="E4" s="7" t="s">
        <v>361</v>
      </c>
      <c r="F4" s="7" t="s">
        <v>22</v>
      </c>
      <c r="G4" s="7">
        <v>70000</v>
      </c>
      <c r="H4" s="7" t="s">
        <v>24</v>
      </c>
      <c r="I4" s="7" t="s">
        <v>25</v>
      </c>
      <c r="J4" s="8">
        <v>0.5625</v>
      </c>
      <c r="K4" s="9">
        <v>0.58472222222222225</v>
      </c>
      <c r="L4" s="8">
        <v>0.39583333333333331</v>
      </c>
      <c r="M4" s="9">
        <v>0.41250000000000003</v>
      </c>
      <c r="N4" s="7" t="s">
        <v>376</v>
      </c>
      <c r="O4" s="7" t="s">
        <v>373</v>
      </c>
      <c r="P4" s="7">
        <v>961</v>
      </c>
      <c r="Q4" s="7">
        <v>1325</v>
      </c>
      <c r="R4" s="7">
        <v>0</v>
      </c>
      <c r="S4" s="7">
        <v>0</v>
      </c>
      <c r="T4" s="7">
        <v>0</v>
      </c>
      <c r="U4" s="7"/>
    </row>
    <row r="5" spans="1:21" x14ac:dyDescent="0.25">
      <c r="A5" s="6">
        <v>44464</v>
      </c>
      <c r="B5" s="7" t="s">
        <v>20</v>
      </c>
      <c r="C5" s="7" t="s">
        <v>69</v>
      </c>
      <c r="D5" s="7" t="s">
        <v>21</v>
      </c>
      <c r="E5" s="7" t="s">
        <v>341</v>
      </c>
      <c r="F5" s="7" t="s">
        <v>22</v>
      </c>
      <c r="G5" s="7">
        <v>70000</v>
      </c>
      <c r="H5" s="7" t="s">
        <v>54</v>
      </c>
      <c r="I5" s="7" t="s">
        <v>55</v>
      </c>
      <c r="J5" s="8">
        <v>0.67361111111111116</v>
      </c>
      <c r="K5" s="9">
        <v>0.66736111111111107</v>
      </c>
      <c r="L5" s="8">
        <v>0.46875</v>
      </c>
      <c r="M5" s="9">
        <v>0.48958333333333331</v>
      </c>
      <c r="N5" s="7" t="s">
        <v>383</v>
      </c>
      <c r="O5" s="7" t="s">
        <v>375</v>
      </c>
      <c r="P5" s="7">
        <v>380</v>
      </c>
      <c r="Q5" s="7">
        <v>730</v>
      </c>
      <c r="R5" s="7">
        <v>0</v>
      </c>
      <c r="S5" s="7">
        <v>0</v>
      </c>
      <c r="T5" s="7">
        <v>0</v>
      </c>
    </row>
    <row r="6" spans="1:21" x14ac:dyDescent="0.25">
      <c r="A6" s="6">
        <v>44464</v>
      </c>
      <c r="B6" s="6" t="s">
        <v>20</v>
      </c>
      <c r="C6" s="7" t="s">
        <v>26</v>
      </c>
      <c r="D6" s="7" t="s">
        <v>21</v>
      </c>
      <c r="E6" s="7" t="s">
        <v>361</v>
      </c>
      <c r="F6" s="7" t="s">
        <v>22</v>
      </c>
      <c r="G6" s="7">
        <v>70000</v>
      </c>
      <c r="H6" s="7" t="s">
        <v>27</v>
      </c>
      <c r="I6" s="7" t="s">
        <v>28</v>
      </c>
      <c r="J6" s="8">
        <v>0.95486111111111116</v>
      </c>
      <c r="K6" s="9">
        <v>0.94791666666666663</v>
      </c>
      <c r="L6" s="8">
        <v>0.60069444444444442</v>
      </c>
      <c r="M6" s="9">
        <v>0.61458333333333337</v>
      </c>
      <c r="N6" s="7" t="s">
        <v>384</v>
      </c>
      <c r="O6" s="7" t="s">
        <v>377</v>
      </c>
      <c r="P6" s="7">
        <v>673</v>
      </c>
      <c r="Q6" s="7">
        <v>994</v>
      </c>
      <c r="R6" s="7">
        <v>0</v>
      </c>
      <c r="S6" s="7">
        <v>0</v>
      </c>
      <c r="T6" s="7">
        <v>0</v>
      </c>
    </row>
    <row r="7" spans="1:21" x14ac:dyDescent="0.25">
      <c r="A7" s="6">
        <v>44464</v>
      </c>
      <c r="B7" s="25" t="s">
        <v>20</v>
      </c>
      <c r="C7" s="25" t="s">
        <v>56</v>
      </c>
      <c r="D7" s="25" t="s">
        <v>21</v>
      </c>
      <c r="E7" s="25" t="s">
        <v>341</v>
      </c>
      <c r="F7" s="26" t="s">
        <v>22</v>
      </c>
      <c r="G7" s="15">
        <v>70000</v>
      </c>
      <c r="H7" s="26" t="s">
        <v>57</v>
      </c>
      <c r="I7" s="26" t="s">
        <v>58</v>
      </c>
      <c r="J7" s="8">
        <v>0.90972222222222221</v>
      </c>
      <c r="K7" s="9"/>
      <c r="L7" s="8">
        <v>0.69444444444444453</v>
      </c>
      <c r="M7" s="9"/>
      <c r="N7" s="7"/>
      <c r="O7" s="7"/>
      <c r="P7" s="7"/>
      <c r="Q7" s="7"/>
      <c r="R7" s="7">
        <v>0</v>
      </c>
      <c r="S7" s="7">
        <v>0</v>
      </c>
      <c r="T7" s="12">
        <v>0</v>
      </c>
    </row>
    <row r="8" spans="1:21" x14ac:dyDescent="0.25">
      <c r="A8" s="6">
        <v>44464</v>
      </c>
      <c r="B8" s="25" t="s">
        <v>20</v>
      </c>
      <c r="C8" s="25" t="s">
        <v>378</v>
      </c>
      <c r="D8" s="25" t="s">
        <v>21</v>
      </c>
      <c r="E8" s="25" t="s">
        <v>341</v>
      </c>
      <c r="F8" s="26" t="s">
        <v>382</v>
      </c>
      <c r="G8" s="15">
        <v>70000</v>
      </c>
      <c r="H8" s="26" t="s">
        <v>342</v>
      </c>
      <c r="I8" s="26"/>
      <c r="K8" s="9"/>
      <c r="M8" s="9">
        <v>0.76736111111111116</v>
      </c>
    </row>
    <row r="9" spans="1:21" x14ac:dyDescent="0.25">
      <c r="A9" s="6">
        <v>44464</v>
      </c>
      <c r="B9" s="25" t="s">
        <v>20</v>
      </c>
      <c r="C9" s="25" t="s">
        <v>381</v>
      </c>
      <c r="D9" s="25" t="s">
        <v>21</v>
      </c>
      <c r="E9" s="25" t="s">
        <v>379</v>
      </c>
      <c r="F9" s="26" t="s">
        <v>380</v>
      </c>
      <c r="G9" s="15">
        <v>70000</v>
      </c>
      <c r="H9" s="26" t="s">
        <v>348</v>
      </c>
      <c r="I9" s="26"/>
      <c r="J9" s="8"/>
      <c r="K9" s="9">
        <v>0.91805555555555562</v>
      </c>
      <c r="L9" s="8"/>
      <c r="M9" s="9"/>
      <c r="N9" s="7"/>
      <c r="O9" s="7"/>
      <c r="P9" s="7"/>
      <c r="Q9" s="7"/>
      <c r="R9" s="7"/>
      <c r="S9" s="7"/>
      <c r="T9" s="12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opLeftCell="B1" workbookViewId="0">
      <selection activeCell="K6" sqref="K6"/>
    </sheetView>
  </sheetViews>
  <sheetFormatPr defaultRowHeight="15" x14ac:dyDescent="0.25"/>
  <cols>
    <col min="1" max="1" width="8.5703125" customWidth="1"/>
    <col min="2" max="2" width="13.28515625" customWidth="1"/>
    <col min="3" max="3" width="12.7109375" customWidth="1"/>
    <col min="5" max="5" width="7.85546875" customWidth="1"/>
    <col min="6" max="6" width="14.42578125" bestFit="1" customWidth="1"/>
    <col min="10" max="10" width="9" customWidth="1"/>
    <col min="11" max="11" width="8.140625" customWidth="1"/>
    <col min="12" max="12" width="9.5703125" customWidth="1"/>
    <col min="13" max="13" width="10.85546875" bestFit="1" customWidth="1"/>
    <col min="14" max="14" width="13.28515625" customWidth="1"/>
    <col min="15" max="15" width="16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6">
        <v>44465</v>
      </c>
      <c r="B2" s="7" t="s">
        <v>20</v>
      </c>
      <c r="C2" s="7" t="s">
        <v>61</v>
      </c>
      <c r="D2" s="7" t="s">
        <v>21</v>
      </c>
      <c r="E2" s="7" t="s">
        <v>379</v>
      </c>
      <c r="F2" s="7" t="s">
        <v>22</v>
      </c>
      <c r="G2" s="7">
        <v>70000</v>
      </c>
      <c r="H2" s="7" t="s">
        <v>65</v>
      </c>
      <c r="I2" s="7" t="s">
        <v>121</v>
      </c>
      <c r="J2" s="8">
        <v>0.70486111111111116</v>
      </c>
      <c r="K2" s="9">
        <v>0.68541666666666667</v>
      </c>
      <c r="L2" s="8">
        <v>0.46875</v>
      </c>
      <c r="M2" s="9">
        <v>0.47083333333333338</v>
      </c>
      <c r="N2" s="7" t="s">
        <v>390</v>
      </c>
      <c r="O2" s="7" t="s">
        <v>386</v>
      </c>
      <c r="P2" s="7">
        <v>537</v>
      </c>
      <c r="Q2" s="7">
        <v>1383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</row>
    <row r="3" spans="1:24" x14ac:dyDescent="0.25">
      <c r="A3" s="6">
        <v>44465</v>
      </c>
      <c r="B3" s="7" t="s">
        <v>20</v>
      </c>
      <c r="C3" s="7" t="s">
        <v>122</v>
      </c>
      <c r="D3" s="7" t="s">
        <v>21</v>
      </c>
      <c r="E3" s="7" t="s">
        <v>361</v>
      </c>
      <c r="F3" s="7" t="s">
        <v>22</v>
      </c>
      <c r="G3" s="7">
        <v>70000</v>
      </c>
      <c r="H3" s="7" t="s">
        <v>123</v>
      </c>
      <c r="I3" s="7" t="s">
        <v>124</v>
      </c>
      <c r="J3" s="8">
        <v>0.69097222222222221</v>
      </c>
      <c r="K3" s="9">
        <v>0.67499999999999993</v>
      </c>
      <c r="L3" s="8">
        <v>0.54166666666666663</v>
      </c>
      <c r="M3" s="9">
        <v>0.54513888888888895</v>
      </c>
      <c r="N3" s="7" t="s">
        <v>393</v>
      </c>
      <c r="O3" s="7" t="s">
        <v>387</v>
      </c>
      <c r="P3" s="7">
        <v>471</v>
      </c>
      <c r="Q3" s="7">
        <v>627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</row>
    <row r="4" spans="1:24" x14ac:dyDescent="0.25">
      <c r="A4" s="6">
        <v>44465</v>
      </c>
      <c r="B4" s="7" t="s">
        <v>20</v>
      </c>
      <c r="C4" s="7" t="s">
        <v>29</v>
      </c>
      <c r="D4" s="7" t="s">
        <v>21</v>
      </c>
      <c r="E4" s="7" t="s">
        <v>361</v>
      </c>
      <c r="F4" s="7" t="s">
        <v>22</v>
      </c>
      <c r="G4" s="7">
        <v>70000</v>
      </c>
      <c r="H4" s="7" t="s">
        <v>30</v>
      </c>
      <c r="I4" s="7" t="s">
        <v>31</v>
      </c>
      <c r="J4" s="8">
        <v>0.90625</v>
      </c>
      <c r="K4" s="9">
        <v>0.90277777777777779</v>
      </c>
      <c r="L4" s="8">
        <v>0.71527777777777779</v>
      </c>
      <c r="M4" s="9">
        <v>0.72638888888888886</v>
      </c>
      <c r="N4" s="7" t="s">
        <v>394</v>
      </c>
      <c r="O4" s="7" t="s">
        <v>391</v>
      </c>
      <c r="P4" s="7">
        <v>953</v>
      </c>
      <c r="Q4" s="7">
        <v>599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</row>
    <row r="5" spans="1:24" x14ac:dyDescent="0.25">
      <c r="A5" s="6">
        <v>44465</v>
      </c>
      <c r="B5" s="7" t="s">
        <v>20</v>
      </c>
      <c r="C5" s="7" t="s">
        <v>62</v>
      </c>
      <c r="D5" s="7" t="s">
        <v>21</v>
      </c>
      <c r="E5" s="7" t="s">
        <v>379</v>
      </c>
      <c r="F5" s="7" t="s">
        <v>22</v>
      </c>
      <c r="G5" s="7">
        <v>70000</v>
      </c>
      <c r="H5" s="7" t="s">
        <v>64</v>
      </c>
      <c r="I5" s="7" t="s">
        <v>63</v>
      </c>
      <c r="J5" s="8">
        <v>0.94097222222222221</v>
      </c>
      <c r="K5" s="9">
        <v>0.96250000000000002</v>
      </c>
      <c r="L5" s="8">
        <v>0.72569444444444453</v>
      </c>
      <c r="M5" s="9">
        <v>0.73541666666666661</v>
      </c>
      <c r="N5" s="7" t="s">
        <v>395</v>
      </c>
      <c r="O5" s="7" t="s">
        <v>392</v>
      </c>
      <c r="P5" s="7">
        <v>471</v>
      </c>
      <c r="Q5" s="7">
        <v>770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</row>
    <row r="6" spans="1:24" x14ac:dyDescent="0.25">
      <c r="A6" s="6">
        <v>44465</v>
      </c>
      <c r="B6" s="7" t="s">
        <v>20</v>
      </c>
      <c r="C6" s="25" t="s">
        <v>56</v>
      </c>
      <c r="D6" s="7" t="s">
        <v>21</v>
      </c>
      <c r="E6" s="25" t="s">
        <v>86</v>
      </c>
      <c r="F6" s="7" t="s">
        <v>22</v>
      </c>
      <c r="G6" s="15">
        <v>70000</v>
      </c>
      <c r="H6" s="26" t="s">
        <v>57</v>
      </c>
      <c r="I6" s="26" t="s">
        <v>58</v>
      </c>
      <c r="J6" s="4">
        <v>0.63888888888888895</v>
      </c>
      <c r="K6" s="9">
        <v>0.62430555555555556</v>
      </c>
      <c r="L6" s="4">
        <v>0.4236111111111111</v>
      </c>
      <c r="M6" s="9">
        <v>0.42777777777777781</v>
      </c>
      <c r="N6" s="3" t="s">
        <v>389</v>
      </c>
      <c r="O6" s="3" t="s">
        <v>388</v>
      </c>
      <c r="P6" s="3">
        <v>300</v>
      </c>
      <c r="Q6" s="3">
        <v>1604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</row>
    <row r="7" spans="1:24" x14ac:dyDescent="0.25">
      <c r="A7" s="6">
        <v>44465</v>
      </c>
      <c r="B7" s="7" t="s">
        <v>20</v>
      </c>
      <c r="C7" s="25" t="s">
        <v>385</v>
      </c>
      <c r="D7" s="7" t="s">
        <v>21</v>
      </c>
      <c r="E7" s="25" t="s">
        <v>86</v>
      </c>
      <c r="F7" s="26" t="s">
        <v>346</v>
      </c>
      <c r="G7" s="15">
        <v>70000</v>
      </c>
      <c r="H7" s="26" t="s">
        <v>342</v>
      </c>
      <c r="I7" s="26" t="s">
        <v>348</v>
      </c>
      <c r="J7" s="4">
        <v>0.40277777777777773</v>
      </c>
      <c r="K7" s="9">
        <v>0.39444444444444443</v>
      </c>
      <c r="L7" s="4">
        <v>0.66666666666666663</v>
      </c>
      <c r="M7" s="9">
        <v>0.65833333333333333</v>
      </c>
      <c r="N7" s="3">
        <v>0</v>
      </c>
      <c r="O7" s="3">
        <v>0</v>
      </c>
      <c r="P7" s="3">
        <v>0</v>
      </c>
      <c r="Q7" s="3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24" x14ac:dyDescent="0.25">
      <c r="A8" s="6"/>
      <c r="B8" s="25"/>
      <c r="C8" s="25"/>
      <c r="D8" s="25"/>
      <c r="E8" s="25"/>
      <c r="F8" s="26"/>
      <c r="G8" s="15"/>
      <c r="H8" s="26"/>
      <c r="I8" s="26"/>
      <c r="J8" s="3"/>
      <c r="K8" s="9"/>
      <c r="L8" s="3"/>
      <c r="M8" s="9"/>
      <c r="N8" s="3"/>
      <c r="O8" s="3"/>
      <c r="P8" s="3"/>
      <c r="Q8" s="3"/>
      <c r="R8" s="7"/>
      <c r="S8" s="7"/>
      <c r="T8" s="7"/>
      <c r="U8" s="7"/>
      <c r="V8" s="7"/>
      <c r="W8" s="7"/>
      <c r="X8" s="7"/>
    </row>
    <row r="9" spans="1:24" x14ac:dyDescent="0.25">
      <c r="A9" s="6"/>
      <c r="B9" s="25"/>
      <c r="C9" s="25"/>
      <c r="D9" s="25"/>
      <c r="E9" s="25"/>
      <c r="F9" s="26"/>
      <c r="G9" s="15"/>
      <c r="H9" s="26"/>
      <c r="I9" s="26"/>
      <c r="K9" s="9"/>
      <c r="M9" s="9"/>
      <c r="R9" s="7"/>
      <c r="S9" s="7"/>
      <c r="T9" s="7"/>
      <c r="U9" s="7"/>
      <c r="V9" s="7"/>
      <c r="W9" s="7"/>
      <c r="X9" s="7"/>
    </row>
    <row r="10" spans="1:24" x14ac:dyDescent="0.25">
      <c r="A10" s="6"/>
      <c r="B10" s="25"/>
      <c r="C10" s="25"/>
      <c r="D10" s="7"/>
      <c r="E10" s="7"/>
      <c r="F10" s="26"/>
      <c r="G10" s="15"/>
      <c r="H10" s="26"/>
      <c r="I10" s="26"/>
      <c r="K10" s="9"/>
      <c r="M10" s="9"/>
      <c r="R10" s="7"/>
      <c r="S10" s="7"/>
      <c r="T10" s="7"/>
      <c r="U10" s="7"/>
      <c r="V10" s="7"/>
      <c r="W10" s="7"/>
      <c r="X10" s="7"/>
    </row>
    <row r="11" spans="1:24" x14ac:dyDescent="0.25">
      <c r="A11" s="6"/>
      <c r="B11" s="25"/>
      <c r="C11" s="25"/>
      <c r="D11" s="7"/>
      <c r="E11" s="7"/>
      <c r="F11" s="26"/>
      <c r="G11" s="15"/>
      <c r="H11" s="26"/>
      <c r="I11" s="26"/>
      <c r="K11" s="9"/>
      <c r="M11" s="9"/>
      <c r="R11" s="7"/>
      <c r="S11" s="7"/>
      <c r="T11" s="7"/>
      <c r="U11" s="7"/>
      <c r="V11" s="7"/>
      <c r="W11" s="7"/>
      <c r="X11" s="7"/>
    </row>
    <row r="12" spans="1:24" x14ac:dyDescent="0.25">
      <c r="A12" s="6"/>
      <c r="B12" s="24"/>
      <c r="C12" s="25"/>
      <c r="D12" s="12"/>
      <c r="E12" s="7"/>
      <c r="F12" s="26"/>
      <c r="G12" s="15"/>
      <c r="H12" s="26"/>
      <c r="I12" s="26"/>
      <c r="K12" s="9"/>
      <c r="M12" s="9"/>
      <c r="R12" s="7"/>
      <c r="S12" s="7"/>
      <c r="T12" s="7"/>
      <c r="U12" s="7"/>
      <c r="V12" s="7"/>
      <c r="W12" s="7"/>
      <c r="X12" s="7"/>
    </row>
    <row r="13" spans="1:24" x14ac:dyDescent="0.25">
      <c r="A13" s="6"/>
      <c r="B13" s="24"/>
      <c r="C13" s="25"/>
      <c r="D13" s="12"/>
      <c r="E13" s="7"/>
      <c r="F13" s="26"/>
      <c r="G13" s="15"/>
      <c r="H13" s="26"/>
      <c r="I13" s="26"/>
      <c r="K13" s="9"/>
      <c r="M13" s="9"/>
      <c r="R13" s="7"/>
      <c r="S13" s="7"/>
      <c r="T13" s="7"/>
      <c r="U13" s="7"/>
      <c r="V13" s="7"/>
      <c r="W13" s="7"/>
      <c r="X13" s="7"/>
    </row>
    <row r="14" spans="1:24" x14ac:dyDescent="0.25">
      <c r="A14" s="6"/>
      <c r="B14" s="25"/>
      <c r="C14" s="25"/>
      <c r="D14" s="25"/>
      <c r="E14" s="25"/>
      <c r="F14" s="26"/>
      <c r="G14" s="15"/>
      <c r="H14" s="26"/>
      <c r="I14" s="26"/>
      <c r="K14" s="9"/>
      <c r="M14" s="9"/>
      <c r="R14" s="7"/>
      <c r="S14" s="7"/>
      <c r="T14" s="7"/>
      <c r="U14" s="7"/>
      <c r="V14" s="7"/>
      <c r="W14" s="7"/>
      <c r="X14" s="7"/>
    </row>
  </sheetData>
  <pageMargins left="0.7" right="0.7" top="0.75" bottom="0.75" header="0.3" footer="0.3"/>
  <pageSetup paperSize="9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44466</v>
      </c>
      <c r="B2" s="6" t="s">
        <v>20</v>
      </c>
      <c r="C2" s="7" t="s">
        <v>32</v>
      </c>
      <c r="D2" s="7" t="s">
        <v>21</v>
      </c>
      <c r="E2" s="7" t="s">
        <v>361</v>
      </c>
      <c r="F2" s="7" t="s">
        <v>22</v>
      </c>
      <c r="G2" s="7">
        <v>70000</v>
      </c>
      <c r="H2" s="7" t="s">
        <v>33</v>
      </c>
      <c r="I2" s="7" t="s">
        <v>34</v>
      </c>
      <c r="J2" s="8">
        <v>0.45833333333333331</v>
      </c>
      <c r="K2" s="9">
        <v>0.44513888888888892</v>
      </c>
      <c r="L2" s="8">
        <v>0.25694444444444448</v>
      </c>
      <c r="M2" s="9">
        <v>0.25277777777777777</v>
      </c>
      <c r="N2" s="7" t="s">
        <v>397</v>
      </c>
      <c r="O2" s="7" t="s">
        <v>396</v>
      </c>
      <c r="P2" s="7">
        <v>304</v>
      </c>
      <c r="Q2" s="7">
        <v>712</v>
      </c>
      <c r="R2" s="7">
        <v>0</v>
      </c>
      <c r="S2" s="7">
        <v>0</v>
      </c>
      <c r="T2" s="7">
        <v>0</v>
      </c>
      <c r="U2" s="7">
        <v>0</v>
      </c>
    </row>
    <row r="3" spans="1:21" x14ac:dyDescent="0.25">
      <c r="A3" s="6">
        <v>44466</v>
      </c>
      <c r="B3" s="7" t="s">
        <v>20</v>
      </c>
      <c r="C3" s="7" t="s">
        <v>35</v>
      </c>
      <c r="D3" s="7" t="s">
        <v>21</v>
      </c>
      <c r="E3" s="7" t="s">
        <v>379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0.85416666666666663</v>
      </c>
      <c r="K3" s="9">
        <v>0.90138888888888891</v>
      </c>
      <c r="L3" s="8">
        <v>0.39583333333333331</v>
      </c>
      <c r="M3" s="9">
        <v>0.47916666666666669</v>
      </c>
      <c r="N3" s="7" t="s">
        <v>155</v>
      </c>
      <c r="O3" s="7" t="s">
        <v>398</v>
      </c>
      <c r="P3" s="7">
        <v>820</v>
      </c>
      <c r="Q3" s="7">
        <v>689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6">
        <v>44466</v>
      </c>
      <c r="B4" s="7" t="s">
        <v>20</v>
      </c>
      <c r="C4" s="7" t="s">
        <v>38</v>
      </c>
      <c r="D4" s="7" t="s">
        <v>21</v>
      </c>
      <c r="E4" s="7" t="s">
        <v>361</v>
      </c>
      <c r="F4" s="7" t="s">
        <v>22</v>
      </c>
      <c r="G4" s="7">
        <v>70000</v>
      </c>
      <c r="H4" s="7" t="s">
        <v>39</v>
      </c>
      <c r="I4" s="7" t="s">
        <v>40</v>
      </c>
      <c r="J4" s="8">
        <v>0.71875</v>
      </c>
      <c r="K4" s="9">
        <v>0.74652777777777779</v>
      </c>
      <c r="L4" s="8">
        <v>0.48958333333333331</v>
      </c>
      <c r="M4" s="9">
        <v>0.52222222222222225</v>
      </c>
      <c r="N4" s="7" t="s">
        <v>389</v>
      </c>
      <c r="O4" s="7" t="s">
        <v>399</v>
      </c>
      <c r="P4" s="7">
        <v>266</v>
      </c>
      <c r="Q4" s="7">
        <v>949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>
        <v>44466</v>
      </c>
      <c r="B5" s="7" t="s">
        <v>20</v>
      </c>
      <c r="C5" s="7" t="s">
        <v>41</v>
      </c>
      <c r="D5" s="7" t="s">
        <v>21</v>
      </c>
      <c r="E5" s="7" t="s">
        <v>361</v>
      </c>
      <c r="F5" s="7" t="s">
        <v>22</v>
      </c>
      <c r="G5" s="7">
        <v>70000</v>
      </c>
      <c r="H5" s="7" t="s">
        <v>42</v>
      </c>
      <c r="I5" s="7" t="s">
        <v>43</v>
      </c>
      <c r="J5" s="4">
        <v>0.92013888888888884</v>
      </c>
      <c r="K5" s="9">
        <v>0.94861111111111107</v>
      </c>
      <c r="L5" s="4">
        <v>0.73958333333333337</v>
      </c>
      <c r="M5" s="5">
        <v>0.77500000000000002</v>
      </c>
      <c r="N5" s="7" t="s">
        <v>401</v>
      </c>
      <c r="O5" s="7" t="s">
        <v>400</v>
      </c>
      <c r="P5" s="7">
        <v>468</v>
      </c>
      <c r="Q5" s="7">
        <v>628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6"/>
      <c r="B6" s="6"/>
      <c r="C6" s="7"/>
      <c r="D6" s="7"/>
      <c r="E6" s="7"/>
      <c r="F6" s="7"/>
      <c r="G6" s="7"/>
      <c r="H6" s="7"/>
      <c r="I6" s="7"/>
      <c r="J6" s="8"/>
      <c r="K6" s="9"/>
      <c r="L6" s="8"/>
      <c r="M6" s="9"/>
      <c r="N6" s="7"/>
      <c r="O6" s="7"/>
      <c r="P6" s="7"/>
      <c r="Q6" s="7"/>
      <c r="R6" s="7"/>
      <c r="S6" s="7"/>
      <c r="T6" s="7"/>
      <c r="U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activeCell="K22" sqref="K22"/>
    </sheetView>
  </sheetViews>
  <sheetFormatPr defaultRowHeight="15" x14ac:dyDescent="0.25"/>
  <cols>
    <col min="1" max="1" width="10.140625" bestFit="1" customWidth="1"/>
    <col min="2" max="2" width="24" customWidth="1"/>
    <col min="3" max="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"/>
      <c r="W1" s="3"/>
    </row>
    <row r="2" spans="1:23" x14ac:dyDescent="0.25">
      <c r="A2" s="6">
        <v>44467</v>
      </c>
      <c r="B2" s="7" t="s">
        <v>20</v>
      </c>
      <c r="C2" s="7" t="s">
        <v>70</v>
      </c>
      <c r="D2" s="7" t="s">
        <v>21</v>
      </c>
      <c r="E2" s="7" t="s">
        <v>379</v>
      </c>
      <c r="F2" s="7" t="s">
        <v>22</v>
      </c>
      <c r="G2" s="7">
        <v>70000</v>
      </c>
      <c r="H2" s="7" t="s">
        <v>52</v>
      </c>
      <c r="I2" s="7" t="s">
        <v>53</v>
      </c>
      <c r="J2" s="8">
        <v>0.4513888888888889</v>
      </c>
      <c r="K2" s="9">
        <v>0.4458333333333333</v>
      </c>
      <c r="L2" s="8">
        <v>0.27777777777777779</v>
      </c>
      <c r="M2" s="9">
        <v>0.28055555555555556</v>
      </c>
      <c r="N2" s="7" t="s">
        <v>413</v>
      </c>
      <c r="O2" s="7" t="s">
        <v>408</v>
      </c>
      <c r="P2" s="7">
        <v>652</v>
      </c>
      <c r="Q2" s="7">
        <v>877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</row>
    <row r="3" spans="1:23" x14ac:dyDescent="0.25">
      <c r="A3" s="6">
        <v>44467</v>
      </c>
      <c r="B3" s="7" t="s">
        <v>20</v>
      </c>
      <c r="C3" s="7" t="s">
        <v>23</v>
      </c>
      <c r="D3" s="7" t="s">
        <v>21</v>
      </c>
      <c r="E3" s="7" t="s">
        <v>361</v>
      </c>
      <c r="F3" s="7" t="s">
        <v>22</v>
      </c>
      <c r="G3" s="7">
        <v>70000</v>
      </c>
      <c r="H3" s="7" t="s">
        <v>24</v>
      </c>
      <c r="I3" s="7" t="s">
        <v>25</v>
      </c>
      <c r="J3" s="8">
        <v>0.5625</v>
      </c>
      <c r="K3" s="9">
        <v>0.54999999999999993</v>
      </c>
      <c r="L3" s="8">
        <v>0.39583333333333331</v>
      </c>
      <c r="M3" s="9">
        <v>0.39444444444444443</v>
      </c>
      <c r="N3" s="7" t="s">
        <v>196</v>
      </c>
      <c r="O3" s="7" t="s">
        <v>407</v>
      </c>
      <c r="P3" s="7">
        <v>568</v>
      </c>
      <c r="Q3" s="7">
        <v>778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1:23" x14ac:dyDescent="0.25">
      <c r="A4" s="6">
        <v>44467</v>
      </c>
      <c r="B4" s="7" t="s">
        <v>20</v>
      </c>
      <c r="C4" s="7" t="s">
        <v>69</v>
      </c>
      <c r="D4" s="7" t="s">
        <v>21</v>
      </c>
      <c r="E4" s="7" t="s">
        <v>379</v>
      </c>
      <c r="F4" s="7" t="s">
        <v>22</v>
      </c>
      <c r="G4" s="7">
        <v>70000</v>
      </c>
      <c r="H4" s="7" t="s">
        <v>54</v>
      </c>
      <c r="I4" s="7" t="s">
        <v>55</v>
      </c>
      <c r="J4" s="8">
        <v>0.6875</v>
      </c>
      <c r="K4" s="9">
        <v>0.8041666666666667</v>
      </c>
      <c r="L4" s="8">
        <v>0.4826388888888889</v>
      </c>
      <c r="M4" s="9">
        <v>0.59513888888888888</v>
      </c>
      <c r="N4" s="7" t="s">
        <v>354</v>
      </c>
      <c r="O4" s="7" t="s">
        <v>386</v>
      </c>
      <c r="P4" s="7">
        <v>347</v>
      </c>
      <c r="Q4" s="7">
        <v>528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</row>
    <row r="5" spans="1:23" x14ac:dyDescent="0.25">
      <c r="A5" s="6">
        <v>44467</v>
      </c>
      <c r="B5" s="6" t="s">
        <v>20</v>
      </c>
      <c r="C5" s="7" t="s">
        <v>26</v>
      </c>
      <c r="D5" s="7" t="s">
        <v>21</v>
      </c>
      <c r="E5" s="7" t="s">
        <v>402</v>
      </c>
      <c r="F5" s="7" t="s">
        <v>22</v>
      </c>
      <c r="G5" s="7">
        <v>70000</v>
      </c>
      <c r="H5" s="7" t="s">
        <v>27</v>
      </c>
      <c r="I5" s="7" t="s">
        <v>28</v>
      </c>
      <c r="J5" s="8">
        <v>0.95486111111111116</v>
      </c>
      <c r="K5" s="9">
        <v>0.9770833333333333</v>
      </c>
      <c r="L5" s="8">
        <v>0.60069444444444442</v>
      </c>
      <c r="M5" s="9">
        <v>0.63402777777777775</v>
      </c>
      <c r="N5" s="7" t="s">
        <v>414</v>
      </c>
      <c r="O5" s="7" t="s">
        <v>152</v>
      </c>
      <c r="P5" s="7">
        <v>704</v>
      </c>
      <c r="Q5" s="7">
        <v>931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pans="1:23" x14ac:dyDescent="0.25">
      <c r="A6" s="6">
        <v>44467</v>
      </c>
      <c r="B6" s="7" t="s">
        <v>403</v>
      </c>
      <c r="C6" s="7" t="s">
        <v>404</v>
      </c>
      <c r="D6" s="7" t="s">
        <v>405</v>
      </c>
      <c r="E6" s="7" t="s">
        <v>406</v>
      </c>
      <c r="F6" s="7" t="s">
        <v>262</v>
      </c>
      <c r="G6" s="7">
        <v>6800</v>
      </c>
      <c r="H6" s="7"/>
      <c r="I6" s="7"/>
      <c r="J6" s="9">
        <v>0.56944444444444442</v>
      </c>
      <c r="K6" s="9">
        <v>0.5229166666666667</v>
      </c>
      <c r="L6" s="7"/>
    </row>
    <row r="7" spans="1:23" x14ac:dyDescent="0.25">
      <c r="A7" s="6">
        <v>44467</v>
      </c>
      <c r="B7" s="20" t="s">
        <v>409</v>
      </c>
      <c r="C7" s="7" t="s">
        <v>410</v>
      </c>
      <c r="D7" s="7" t="s">
        <v>412</v>
      </c>
      <c r="E7" s="7" t="s">
        <v>411</v>
      </c>
      <c r="F7" s="7" t="s">
        <v>262</v>
      </c>
      <c r="G7" s="7">
        <v>2000</v>
      </c>
      <c r="H7" s="7" t="s">
        <v>411</v>
      </c>
      <c r="I7" s="7" t="s">
        <v>411</v>
      </c>
      <c r="J7" s="7"/>
      <c r="K7" s="9">
        <v>0.59722222222222221</v>
      </c>
      <c r="L7" s="7"/>
      <c r="M7" s="9">
        <v>0.60763888888888895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activeCell="M21" sqref="M21"/>
    </sheetView>
  </sheetViews>
  <sheetFormatPr defaultRowHeight="15" x14ac:dyDescent="0.25"/>
  <cols>
    <col min="1" max="1" width="9.85546875" customWidth="1"/>
    <col min="2" max="2" width="20.28515625" customWidth="1"/>
    <col min="3" max="3" width="15.5703125" customWidth="1"/>
    <col min="6" max="6" width="12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6">
        <v>44468</v>
      </c>
      <c r="B2" s="7" t="s">
        <v>172</v>
      </c>
      <c r="C2" s="7" t="s">
        <v>61</v>
      </c>
      <c r="D2" s="7" t="s">
        <v>21</v>
      </c>
      <c r="E2" s="7" t="s">
        <v>379</v>
      </c>
      <c r="F2" s="7" t="s">
        <v>22</v>
      </c>
      <c r="G2" s="7">
        <v>70000</v>
      </c>
      <c r="H2" s="7" t="s">
        <v>65</v>
      </c>
      <c r="I2" s="7" t="s">
        <v>121</v>
      </c>
      <c r="J2" s="8">
        <v>0.48958333333333331</v>
      </c>
      <c r="K2" s="9">
        <v>0.48472222222222222</v>
      </c>
      <c r="L2" s="8">
        <v>0.25694444444444448</v>
      </c>
      <c r="M2" s="5">
        <v>0.25694444444444448</v>
      </c>
      <c r="N2" s="7" t="s">
        <v>417</v>
      </c>
      <c r="O2" s="7" t="s">
        <v>416</v>
      </c>
      <c r="P2" s="7">
        <v>475</v>
      </c>
      <c r="Q2" s="7">
        <v>299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6">
        <v>44468</v>
      </c>
      <c r="B3" s="7" t="s">
        <v>172</v>
      </c>
      <c r="C3" s="7" t="s">
        <v>35</v>
      </c>
      <c r="D3" s="7" t="s">
        <v>21</v>
      </c>
      <c r="E3" s="7" t="s">
        <v>415</v>
      </c>
      <c r="F3" s="7" t="s">
        <v>22</v>
      </c>
      <c r="G3" s="7">
        <v>70000</v>
      </c>
      <c r="H3" s="7" t="s">
        <v>36</v>
      </c>
      <c r="I3" s="7" t="s">
        <v>37</v>
      </c>
      <c r="J3" s="8">
        <v>0.89236111111111116</v>
      </c>
      <c r="K3" s="9">
        <v>0.88124999999999998</v>
      </c>
      <c r="L3" s="8">
        <v>0.47569444444444442</v>
      </c>
      <c r="M3" s="5">
        <v>0.47986111111111113</v>
      </c>
      <c r="N3" s="7" t="s">
        <v>424</v>
      </c>
      <c r="O3" s="3" t="s">
        <v>420</v>
      </c>
      <c r="P3" s="3">
        <v>586</v>
      </c>
      <c r="Q3" s="3">
        <v>957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x14ac:dyDescent="0.25">
      <c r="A4" s="6">
        <v>44468</v>
      </c>
      <c r="B4" s="7" t="s">
        <v>172</v>
      </c>
      <c r="C4" s="7" t="s">
        <v>32</v>
      </c>
      <c r="D4" s="7" t="s">
        <v>21</v>
      </c>
      <c r="E4" s="7" t="s">
        <v>379</v>
      </c>
      <c r="F4" s="7" t="s">
        <v>22</v>
      </c>
      <c r="G4" s="7">
        <v>70000</v>
      </c>
      <c r="H4" s="7" t="s">
        <v>33</v>
      </c>
      <c r="I4" s="7" t="s">
        <v>34</v>
      </c>
      <c r="J4" s="4">
        <v>0.71875</v>
      </c>
      <c r="K4" s="5">
        <v>0.71527777777777779</v>
      </c>
      <c r="L4" s="4">
        <v>0.51736111111111105</v>
      </c>
      <c r="M4" s="5">
        <v>0.48194444444444445</v>
      </c>
      <c r="N4" s="3" t="s">
        <v>423</v>
      </c>
      <c r="O4" s="3" t="s">
        <v>421</v>
      </c>
      <c r="P4" s="3">
        <v>415</v>
      </c>
      <c r="Q4" s="3">
        <v>581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6">
        <v>44468</v>
      </c>
      <c r="B5" s="7" t="s">
        <v>172</v>
      </c>
      <c r="C5" s="7" t="s">
        <v>41</v>
      </c>
      <c r="D5" s="7" t="s">
        <v>21</v>
      </c>
      <c r="E5" s="7" t="s">
        <v>379</v>
      </c>
      <c r="F5" s="7" t="s">
        <v>22</v>
      </c>
      <c r="G5" s="7">
        <v>70000</v>
      </c>
      <c r="H5" s="7" t="s">
        <v>42</v>
      </c>
      <c r="I5" s="7" t="s">
        <v>43</v>
      </c>
      <c r="J5" s="4">
        <v>0.92013888888888884</v>
      </c>
      <c r="K5" s="5">
        <v>0.9159722222222223</v>
      </c>
      <c r="L5" s="4">
        <v>0.73958333333333337</v>
      </c>
      <c r="M5" s="5">
        <v>0.74722222222222223</v>
      </c>
      <c r="N5" s="7" t="s">
        <v>425</v>
      </c>
      <c r="O5" s="7" t="s">
        <v>274</v>
      </c>
      <c r="P5" s="3">
        <v>513</v>
      </c>
      <c r="Q5" s="3">
        <v>541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6">
        <v>44468</v>
      </c>
      <c r="B6" s="7" t="s">
        <v>403</v>
      </c>
      <c r="C6" s="7" t="s">
        <v>418</v>
      </c>
      <c r="D6" s="7" t="s">
        <v>405</v>
      </c>
      <c r="E6" s="7" t="s">
        <v>406</v>
      </c>
      <c r="F6" s="7" t="s">
        <v>419</v>
      </c>
      <c r="G6" s="7">
        <v>6800</v>
      </c>
      <c r="H6" s="7"/>
      <c r="I6" s="7"/>
      <c r="J6" s="7"/>
      <c r="K6" s="9">
        <v>0.49861111111111112</v>
      </c>
      <c r="L6" s="7"/>
      <c r="M6" s="9">
        <v>0.41180555555555554</v>
      </c>
      <c r="N6" s="7"/>
    </row>
    <row r="7" spans="1:24" x14ac:dyDescent="0.25">
      <c r="A7" s="6">
        <v>44468</v>
      </c>
      <c r="B7" s="7" t="s">
        <v>403</v>
      </c>
      <c r="C7" s="7" t="s">
        <v>422</v>
      </c>
      <c r="D7" s="7" t="s">
        <v>405</v>
      </c>
      <c r="E7" s="7" t="s">
        <v>406</v>
      </c>
      <c r="F7" s="7" t="s">
        <v>419</v>
      </c>
      <c r="G7" s="7">
        <v>6800</v>
      </c>
      <c r="M7" s="9">
        <v>0.53472222222222221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zoomScaleNormal="100" workbookViewId="0">
      <selection activeCell="K4" sqref="K4"/>
    </sheetView>
  </sheetViews>
  <sheetFormatPr defaultRowHeight="15" x14ac:dyDescent="0.25"/>
  <cols>
    <col min="2" max="2" width="17.140625" customWidth="1"/>
    <col min="3" max="3" width="14.42578125" customWidth="1"/>
    <col min="5" max="5" width="12.42578125" bestFit="1" customWidth="1"/>
    <col min="6" max="6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6">
        <v>44469</v>
      </c>
      <c r="B2" s="7" t="s">
        <v>20</v>
      </c>
      <c r="C2" s="7" t="s">
        <v>23</v>
      </c>
      <c r="D2" s="7" t="s">
        <v>21</v>
      </c>
      <c r="E2" s="7" t="s">
        <v>415</v>
      </c>
      <c r="F2" s="7" t="s">
        <v>22</v>
      </c>
      <c r="G2" s="7">
        <v>70000</v>
      </c>
      <c r="H2" s="7" t="s">
        <v>24</v>
      </c>
      <c r="I2" s="7" t="s">
        <v>25</v>
      </c>
      <c r="J2" s="8">
        <v>0.67013888888888884</v>
      </c>
      <c r="K2" s="9">
        <v>0.65694444444444444</v>
      </c>
      <c r="L2" s="8">
        <v>0.27083333333333331</v>
      </c>
      <c r="M2" s="9">
        <v>0.27013888888888887</v>
      </c>
      <c r="N2" s="7" t="s">
        <v>433</v>
      </c>
      <c r="O2" s="7" t="s">
        <v>426</v>
      </c>
      <c r="P2" s="7">
        <v>1102</v>
      </c>
      <c r="Q2" s="7">
        <v>352</v>
      </c>
      <c r="R2" s="7">
        <v>0</v>
      </c>
      <c r="S2" s="7">
        <v>0</v>
      </c>
      <c r="T2" s="7">
        <v>0</v>
      </c>
      <c r="U2" s="7">
        <v>0</v>
      </c>
    </row>
    <row r="3" spans="1:21" x14ac:dyDescent="0.25">
      <c r="A3" s="6">
        <v>44469</v>
      </c>
      <c r="B3" s="7" t="s">
        <v>20</v>
      </c>
      <c r="C3" s="7" t="s">
        <v>69</v>
      </c>
      <c r="D3" s="7" t="s">
        <v>21</v>
      </c>
      <c r="E3" s="7" t="s">
        <v>379</v>
      </c>
      <c r="F3" s="7" t="s">
        <v>22</v>
      </c>
      <c r="G3" s="7">
        <v>70000</v>
      </c>
      <c r="H3" s="7" t="s">
        <v>54</v>
      </c>
      <c r="I3" s="7" t="s">
        <v>55</v>
      </c>
      <c r="J3" s="8">
        <v>0.67361111111111116</v>
      </c>
      <c r="K3" s="9">
        <v>0.66249999999999998</v>
      </c>
      <c r="L3" s="8">
        <v>0.46875</v>
      </c>
      <c r="M3" s="9">
        <v>0.47222222222222227</v>
      </c>
      <c r="N3" s="7" t="s">
        <v>434</v>
      </c>
      <c r="O3" s="7" t="s">
        <v>427</v>
      </c>
      <c r="P3" s="7">
        <v>234</v>
      </c>
      <c r="Q3" s="7">
        <v>536</v>
      </c>
      <c r="R3" s="7">
        <v>0</v>
      </c>
      <c r="S3" s="7">
        <v>0</v>
      </c>
      <c r="T3" s="7">
        <v>0</v>
      </c>
      <c r="U3" s="7">
        <v>0</v>
      </c>
    </row>
    <row r="4" spans="1:21" x14ac:dyDescent="0.25">
      <c r="A4" s="6">
        <v>44469</v>
      </c>
      <c r="B4" s="3" t="s">
        <v>87</v>
      </c>
      <c r="C4" s="3" t="s">
        <v>62</v>
      </c>
      <c r="D4" s="3" t="s">
        <v>21</v>
      </c>
      <c r="E4" s="3" t="str">
        <f>E3</f>
        <v>HA-LWA</v>
      </c>
      <c r="F4" s="3" t="s">
        <v>22</v>
      </c>
      <c r="G4" s="10">
        <v>70000</v>
      </c>
      <c r="H4" s="3" t="s">
        <v>64</v>
      </c>
      <c r="I4" s="3" t="s">
        <v>63</v>
      </c>
      <c r="J4" s="4">
        <v>0.90972222222222221</v>
      </c>
      <c r="K4" s="5">
        <v>0.91666666666666663</v>
      </c>
      <c r="L4" s="4">
        <v>0.69444444444444453</v>
      </c>
      <c r="M4" s="5">
        <v>0.6958333333333333</v>
      </c>
      <c r="N4" s="3" t="s">
        <v>437</v>
      </c>
      <c r="O4" s="3" t="s">
        <v>318</v>
      </c>
      <c r="P4" s="3">
        <v>429</v>
      </c>
      <c r="Q4" s="3">
        <v>392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6">
        <v>44469</v>
      </c>
      <c r="B5" s="6" t="s">
        <v>20</v>
      </c>
      <c r="C5" s="7" t="s">
        <v>29</v>
      </c>
      <c r="D5" s="7" t="s">
        <v>21</v>
      </c>
      <c r="E5" s="7" t="s">
        <v>415</v>
      </c>
      <c r="F5" s="7" t="s">
        <v>22</v>
      </c>
      <c r="G5" s="7">
        <v>70000</v>
      </c>
      <c r="H5" s="7" t="s">
        <v>30</v>
      </c>
      <c r="I5" s="7" t="s">
        <v>31</v>
      </c>
      <c r="J5" s="8">
        <v>0.90277777777777779</v>
      </c>
      <c r="K5" s="9">
        <v>0.88124999999999998</v>
      </c>
      <c r="L5" s="8">
        <v>0.70833333333333337</v>
      </c>
      <c r="M5" s="9">
        <v>0.70833333333333337</v>
      </c>
      <c r="N5" s="7" t="s">
        <v>438</v>
      </c>
      <c r="O5" s="3" t="s">
        <v>436</v>
      </c>
      <c r="P5" s="7">
        <v>943</v>
      </c>
      <c r="Q5" s="7">
        <v>750</v>
      </c>
      <c r="R5" s="7">
        <v>0</v>
      </c>
      <c r="S5" s="7">
        <v>0</v>
      </c>
      <c r="T5" s="7">
        <v>0</v>
      </c>
      <c r="U5" s="7">
        <v>0</v>
      </c>
    </row>
    <row r="6" spans="1:21" x14ac:dyDescent="0.25">
      <c r="A6" s="6">
        <v>44469</v>
      </c>
      <c r="B6" s="25" t="s">
        <v>428</v>
      </c>
      <c r="C6" s="25" t="s">
        <v>429</v>
      </c>
      <c r="D6" s="25" t="s">
        <v>430</v>
      </c>
      <c r="E6" s="25" t="s">
        <v>431</v>
      </c>
      <c r="F6" s="26" t="s">
        <v>432</v>
      </c>
      <c r="G6" s="15">
        <v>1250</v>
      </c>
      <c r="H6" s="26"/>
      <c r="I6" s="26"/>
      <c r="J6" s="8">
        <v>0.57638888888888895</v>
      </c>
      <c r="K6" s="9">
        <v>0.57361111111111118</v>
      </c>
      <c r="L6" s="8">
        <v>0.60416666666666663</v>
      </c>
      <c r="M6" s="9">
        <v>0.59444444444444444</v>
      </c>
      <c r="N6" s="7"/>
      <c r="O6" s="7"/>
      <c r="P6" s="7"/>
      <c r="Q6" s="7"/>
      <c r="R6" s="7"/>
      <c r="S6" s="7"/>
      <c r="T6" s="7"/>
      <c r="U6" s="7"/>
    </row>
    <row r="7" spans="1:21" x14ac:dyDescent="0.25">
      <c r="A7" s="6">
        <v>44469</v>
      </c>
      <c r="B7" s="25" t="s">
        <v>428</v>
      </c>
      <c r="C7" s="25" t="s">
        <v>435</v>
      </c>
      <c r="D7" s="25" t="s">
        <v>430</v>
      </c>
      <c r="E7" s="25" t="s">
        <v>431</v>
      </c>
      <c r="F7" s="26" t="s">
        <v>432</v>
      </c>
      <c r="G7" s="15">
        <v>1250</v>
      </c>
      <c r="H7" s="26"/>
      <c r="I7" s="26"/>
      <c r="J7" s="8"/>
      <c r="K7" s="9">
        <v>0.625</v>
      </c>
      <c r="L7" s="8"/>
      <c r="M7" s="9">
        <v>0.63402777777777775</v>
      </c>
      <c r="N7" s="7"/>
      <c r="O7" s="7"/>
      <c r="P7" s="7"/>
      <c r="Q7" s="7"/>
      <c r="R7" s="7"/>
      <c r="S7" s="7"/>
      <c r="T7" s="7"/>
      <c r="U7" s="7"/>
    </row>
    <row r="8" spans="1:21" x14ac:dyDescent="0.25">
      <c r="A8" s="6"/>
      <c r="B8" s="25"/>
      <c r="C8" s="25"/>
      <c r="D8" s="7"/>
      <c r="E8" s="7"/>
      <c r="F8" s="26"/>
      <c r="G8" s="15"/>
      <c r="H8" s="26"/>
      <c r="I8" s="26"/>
      <c r="J8" s="8"/>
      <c r="K8" s="9"/>
      <c r="L8" s="8"/>
      <c r="M8" s="9"/>
      <c r="N8" s="7"/>
      <c r="O8" s="7"/>
      <c r="P8" s="7"/>
      <c r="Q8" s="7"/>
      <c r="R8" s="7"/>
      <c r="S8" s="7"/>
      <c r="T8" s="7"/>
      <c r="U8" s="7"/>
    </row>
    <row r="9" spans="1:21" x14ac:dyDescent="0.25">
      <c r="A9" s="6"/>
      <c r="B9" s="25"/>
      <c r="C9" s="25"/>
      <c r="D9" s="25"/>
      <c r="E9" s="25"/>
      <c r="F9" s="26"/>
      <c r="G9" s="15"/>
      <c r="H9" s="26"/>
      <c r="I9" s="26"/>
      <c r="J9" s="8"/>
      <c r="K9" s="9"/>
      <c r="L9" s="8"/>
      <c r="M9" s="9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6"/>
      <c r="B10" s="25"/>
      <c r="C10" s="25"/>
      <c r="D10" s="25"/>
      <c r="E10" s="25"/>
      <c r="F10" s="26"/>
      <c r="G10" s="15"/>
      <c r="H10" s="26"/>
      <c r="I10" s="26"/>
      <c r="J10" s="8"/>
      <c r="K10" s="9"/>
      <c r="L10" s="8"/>
      <c r="M10" s="9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6"/>
      <c r="B11" s="25"/>
      <c r="C11" s="25"/>
      <c r="D11" s="7"/>
      <c r="E11" s="7"/>
      <c r="F11" s="26"/>
      <c r="G11" s="15"/>
      <c r="H11" s="26"/>
      <c r="I11" s="26"/>
      <c r="J11" s="8"/>
      <c r="K11" s="9"/>
      <c r="L11" s="8"/>
      <c r="M11" s="9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6"/>
      <c r="B12" s="25"/>
      <c r="C12" s="25"/>
      <c r="D12" s="7"/>
      <c r="E12" s="7"/>
      <c r="F12" s="26"/>
      <c r="G12" s="15"/>
      <c r="H12" s="26"/>
      <c r="I12" s="26"/>
      <c r="J12" s="8"/>
      <c r="K12" s="9"/>
      <c r="L12" s="8"/>
      <c r="M12" s="9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6"/>
      <c r="B13" s="24"/>
      <c r="C13" s="25"/>
      <c r="D13" s="12"/>
      <c r="E13" s="7"/>
      <c r="F13" s="26"/>
      <c r="G13" s="15"/>
      <c r="H13" s="26"/>
      <c r="I13" s="26"/>
      <c r="J13" s="8"/>
      <c r="K13" s="9"/>
      <c r="L13" s="8"/>
      <c r="M13" s="9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6"/>
      <c r="B14" s="24"/>
      <c r="C14" s="25"/>
      <c r="D14" s="12"/>
      <c r="E14" s="7"/>
      <c r="F14" s="26"/>
      <c r="G14" s="15"/>
      <c r="H14" s="26"/>
      <c r="I14" s="26"/>
      <c r="J14" s="8"/>
      <c r="K14" s="9"/>
      <c r="L14" s="8"/>
      <c r="M14" s="9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6"/>
      <c r="B15" s="24"/>
      <c r="C15" s="25"/>
      <c r="D15" s="12"/>
      <c r="E15" s="7"/>
      <c r="F15" s="26"/>
      <c r="G15" s="15"/>
      <c r="H15" s="26"/>
      <c r="I15" s="26"/>
      <c r="J15" s="8"/>
      <c r="K15" s="9"/>
      <c r="L15" s="8"/>
      <c r="M15" s="9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F16" s="26"/>
    </row>
    <row r="17" spans="1:21" x14ac:dyDescent="0.25">
      <c r="A17" s="6"/>
      <c r="B17" s="25"/>
      <c r="C17" s="25"/>
      <c r="D17" s="25"/>
      <c r="E17" s="25"/>
      <c r="F17" s="26"/>
      <c r="G17" s="15"/>
      <c r="H17" s="26"/>
      <c r="I17" s="26"/>
      <c r="J17" s="8"/>
      <c r="K17" s="9"/>
      <c r="L17" s="8"/>
      <c r="M17" s="9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6"/>
      <c r="B18" s="25"/>
      <c r="C18" s="25"/>
      <c r="D18" s="25"/>
      <c r="E18" s="25"/>
      <c r="F18" s="26"/>
      <c r="G18" s="15"/>
      <c r="H18" s="26"/>
      <c r="I18" s="26"/>
      <c r="J18" s="8"/>
      <c r="K18" s="9"/>
      <c r="L18" s="8"/>
      <c r="M18" s="9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6"/>
      <c r="B19" s="25"/>
      <c r="C19" s="25"/>
      <c r="D19" s="7"/>
      <c r="E19" s="7"/>
      <c r="F19" s="26"/>
      <c r="G19" s="15"/>
      <c r="H19" s="26"/>
      <c r="I19" s="26"/>
      <c r="J19" s="8"/>
      <c r="K19" s="9"/>
      <c r="L19" s="8"/>
      <c r="M19" s="9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6"/>
      <c r="B20" s="25"/>
      <c r="C20" s="25"/>
      <c r="D20" s="25"/>
      <c r="E20" s="25"/>
      <c r="F20" s="26"/>
      <c r="G20" s="15"/>
      <c r="H20" s="26"/>
      <c r="I20" s="26"/>
      <c r="J20" s="8"/>
      <c r="K20" s="9"/>
      <c r="L20" s="8"/>
      <c r="M20" s="9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6"/>
      <c r="B21" s="25"/>
      <c r="C21" s="25"/>
      <c r="D21" s="25"/>
      <c r="E21" s="25"/>
      <c r="F21" s="26"/>
      <c r="G21" s="15"/>
      <c r="H21" s="26"/>
      <c r="I21" s="26"/>
      <c r="J21" s="8"/>
      <c r="K21" s="9"/>
      <c r="L21" s="8"/>
      <c r="M21" s="9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6"/>
      <c r="B22" s="25"/>
      <c r="C22" s="25"/>
      <c r="D22" s="7"/>
      <c r="E22" s="7"/>
      <c r="F22" s="26"/>
      <c r="G22" s="15"/>
      <c r="H22" s="26"/>
      <c r="I22" s="26"/>
      <c r="J22" s="8"/>
      <c r="K22" s="9"/>
      <c r="L22" s="8"/>
      <c r="M22" s="9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6"/>
      <c r="B23" s="25"/>
      <c r="C23" s="25"/>
      <c r="D23" s="7"/>
      <c r="E23" s="7"/>
      <c r="F23" s="26"/>
      <c r="G23" s="15"/>
      <c r="H23" s="26"/>
      <c r="I23" s="26"/>
      <c r="J23" s="8"/>
      <c r="K23" s="9"/>
      <c r="L23" s="8"/>
      <c r="M23" s="9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6"/>
      <c r="B24" s="24"/>
      <c r="C24" s="25"/>
      <c r="D24" s="12"/>
      <c r="E24" s="7"/>
      <c r="F24" s="26"/>
      <c r="G24" s="15"/>
      <c r="H24" s="26"/>
      <c r="I24" s="26"/>
      <c r="J24" s="8"/>
      <c r="K24" s="9"/>
      <c r="L24" s="8"/>
      <c r="M24" s="9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6"/>
      <c r="B25" s="24"/>
      <c r="C25" s="25"/>
      <c r="D25" s="12"/>
      <c r="E25" s="7"/>
      <c r="F25" s="26"/>
      <c r="G25" s="15"/>
      <c r="H25" s="26"/>
      <c r="I25" s="26"/>
      <c r="J25" s="8"/>
      <c r="K25" s="9"/>
      <c r="L25" s="8"/>
      <c r="M25" s="9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6"/>
      <c r="B26" s="24"/>
      <c r="C26" s="25"/>
      <c r="D26" s="12"/>
      <c r="E26" s="7"/>
      <c r="F26" s="26"/>
      <c r="G26" s="15"/>
      <c r="H26" s="26"/>
      <c r="I26" s="26"/>
      <c r="J26" s="8"/>
      <c r="K26" s="9"/>
      <c r="L26" s="8"/>
      <c r="M26" s="9"/>
      <c r="N26" s="7"/>
      <c r="O26" s="7"/>
      <c r="P26" s="7"/>
      <c r="Q26" s="7"/>
      <c r="R26" s="7"/>
      <c r="S26" s="7"/>
      <c r="T26" s="7"/>
      <c r="U26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cp:lastPrinted>2021-09-19T15:31:38Z</cp:lastPrinted>
  <dcterms:created xsi:type="dcterms:W3CDTF">2021-02-01T03:54:40Z</dcterms:created>
  <dcterms:modified xsi:type="dcterms:W3CDTF">2021-09-30T20:05:50Z</dcterms:modified>
</cp:coreProperties>
</file>