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8195" windowHeight="11580" tabRatio="640" firstSheet="10" activeTab="30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5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r:id="rId28"/>
    <sheet name="29" sheetId="31" r:id="rId29"/>
    <sheet name="30" sheetId="32" r:id="rId30"/>
    <sheet name="31" sheetId="33" r:id="rId31"/>
  </sheets>
  <calcPr calcId="145621"/>
</workbook>
</file>

<file path=xl/calcChain.xml><?xml version="1.0" encoding="utf-8"?>
<calcChain xmlns="http://schemas.openxmlformats.org/spreadsheetml/2006/main">
  <c r="E4" i="33" l="1"/>
  <c r="E5" i="33" s="1"/>
  <c r="E4" i="32" l="1"/>
  <c r="I5" i="31" l="1"/>
  <c r="E4" i="31" l="1"/>
  <c r="E4" i="30" l="1"/>
  <c r="I5" i="29" l="1"/>
  <c r="I4" i="29"/>
  <c r="I4" i="28" l="1"/>
  <c r="I6" i="27" l="1"/>
  <c r="E3" i="27" l="1"/>
  <c r="E4" i="26" l="1"/>
  <c r="E5" i="26" s="1"/>
  <c r="I6" i="25" l="1"/>
  <c r="I5" i="25"/>
  <c r="E4" i="25" l="1"/>
  <c r="A3" i="25"/>
  <c r="A4" i="25" s="1"/>
  <c r="I8" i="24" l="1"/>
  <c r="I7" i="24" l="1"/>
  <c r="I6" i="24" l="1"/>
  <c r="I5" i="24" l="1"/>
  <c r="I7" i="23" l="1"/>
  <c r="I8" i="23" l="1"/>
  <c r="A8" i="23"/>
  <c r="A7" i="23"/>
  <c r="I9" i="20" l="1"/>
  <c r="A9" i="20"/>
  <c r="I8" i="20"/>
  <c r="A8" i="20"/>
  <c r="I7" i="20"/>
  <c r="A7" i="20"/>
  <c r="I6" i="20"/>
  <c r="A6" i="20"/>
  <c r="I6" i="19" l="1"/>
  <c r="A6" i="19"/>
  <c r="E5" i="19" l="1"/>
  <c r="E4" i="19"/>
  <c r="I8" i="18" l="1"/>
  <c r="A8" i="18"/>
  <c r="M7" i="18" l="1"/>
  <c r="J7" i="18"/>
  <c r="I7" i="18"/>
  <c r="I6" i="18"/>
  <c r="C7" i="18"/>
  <c r="A7" i="18"/>
  <c r="A6" i="18"/>
  <c r="H5" i="18" l="1"/>
  <c r="A5" i="18" l="1"/>
  <c r="A4" i="18" l="1"/>
  <c r="A3" i="18"/>
  <c r="E4" i="18"/>
  <c r="G6" i="15" l="1"/>
  <c r="F6" i="15"/>
  <c r="D6" i="15"/>
  <c r="B6" i="15"/>
  <c r="A6" i="15"/>
  <c r="F5" i="15"/>
  <c r="F4" i="15" l="1"/>
  <c r="C4" i="15"/>
  <c r="I4" i="14" l="1"/>
  <c r="A4" i="14"/>
  <c r="E5" i="11" l="1"/>
  <c r="K2" i="10" l="1"/>
  <c r="E5" i="10" l="1"/>
  <c r="E4" i="10"/>
  <c r="E5" i="3" l="1"/>
  <c r="E4" i="3"/>
  <c r="E4" i="1" l="1"/>
</calcChain>
</file>

<file path=xl/sharedStrings.xml><?xml version="1.0" encoding="utf-8"?>
<sst xmlns="http://schemas.openxmlformats.org/spreadsheetml/2006/main" count="1830" uniqueCount="319">
  <si>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</si>
  <si>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</si>
  <si>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</si>
  <si>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</si>
  <si>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</si>
  <si>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</si>
  <si>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</si>
  <si>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</si>
  <si>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</si>
  <si>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</si>
  <si>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</si>
  <si>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</si>
  <si>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</si>
  <si>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</si>
  <si>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</si>
  <si>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</si>
  <si>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</si>
  <si>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</si>
  <si>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</si>
  <si>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</si>
  <si>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</si>
  <si>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</si>
  <si>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</si>
  <si>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</si>
  <si>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TZL-FMM-TZL</t>
  </si>
  <si>
    <t>W64280</t>
  </si>
  <si>
    <t>W64279</t>
  </si>
  <si>
    <t>TZL-MLH-TZL</t>
  </si>
  <si>
    <t>W64294</t>
  </si>
  <si>
    <t>W64293</t>
  </si>
  <si>
    <t>TZL-EIN-TZL</t>
  </si>
  <si>
    <t>W64290</t>
  </si>
  <si>
    <t>W64289</t>
  </si>
  <si>
    <t>HA-LPJ</t>
  </si>
  <si>
    <t>HA-LYK</t>
  </si>
  <si>
    <t>57+1 INF</t>
  </si>
  <si>
    <t>65+4 INF</t>
  </si>
  <si>
    <t>62+4 INF</t>
  </si>
  <si>
    <t>55+2INF</t>
  </si>
  <si>
    <t>BENARD MATOŠEVIĆ</t>
  </si>
  <si>
    <t>LQCG-TZL-LNZ</t>
  </si>
  <si>
    <t>C182</t>
  </si>
  <si>
    <t>E7DDB</t>
  </si>
  <si>
    <t>TECHNICAL</t>
  </si>
  <si>
    <t>-</t>
  </si>
  <si>
    <t>CREW</t>
  </si>
  <si>
    <t>132+10INF</t>
  </si>
  <si>
    <t>118+4INF</t>
  </si>
  <si>
    <t>TZL-NYO-TZL</t>
  </si>
  <si>
    <t>TZL-BER-TZL</t>
  </si>
  <si>
    <t>HAPLJ</t>
  </si>
  <si>
    <t>W64282</t>
  </si>
  <si>
    <t>W64276</t>
  </si>
  <si>
    <t>W64275</t>
  </si>
  <si>
    <t>W64281</t>
  </si>
  <si>
    <t>143+6 INF</t>
  </si>
  <si>
    <t>TZL-CGN-TZL</t>
  </si>
  <si>
    <t>HALYK</t>
  </si>
  <si>
    <t>W64300</t>
  </si>
  <si>
    <t>W64299</t>
  </si>
  <si>
    <t>124+5 INF</t>
  </si>
  <si>
    <t>115+5 INF</t>
  </si>
  <si>
    <t>92+1 INF</t>
  </si>
  <si>
    <t>108+5 INF</t>
  </si>
  <si>
    <t>HALPJ</t>
  </si>
  <si>
    <t>TZL-MMX-TZL</t>
  </si>
  <si>
    <t>TZL-DTM-TZL</t>
  </si>
  <si>
    <t>TZL-GOT-TZL</t>
  </si>
  <si>
    <t>TZL-HHN-TZL</t>
  </si>
  <si>
    <t>W64292</t>
  </si>
  <si>
    <t>W64298</t>
  </si>
  <si>
    <t>W6496</t>
  </si>
  <si>
    <t>W64284</t>
  </si>
  <si>
    <t>W64291</t>
  </si>
  <si>
    <t>W64297</t>
  </si>
  <si>
    <t>W64295</t>
  </si>
  <si>
    <t>90+2 INF</t>
  </si>
  <si>
    <t>125+3 INF</t>
  </si>
  <si>
    <t>85+3 INF</t>
  </si>
  <si>
    <t>80+2 INF</t>
  </si>
  <si>
    <t>78+2 INF</t>
  </si>
  <si>
    <t>103+1 INF</t>
  </si>
  <si>
    <t>COMBAT AVIATION BRIGADE</t>
  </si>
  <si>
    <t>TBA-TZL</t>
  </si>
  <si>
    <t>H60</t>
  </si>
  <si>
    <t>S70</t>
  </si>
  <si>
    <t>COPTER 260</t>
  </si>
  <si>
    <t>COPTER 266</t>
  </si>
  <si>
    <t>NON-SCHEDULED</t>
  </si>
  <si>
    <t>73+3 INF</t>
  </si>
  <si>
    <t>89+4 INF</t>
  </si>
  <si>
    <t>59+3INF</t>
  </si>
  <si>
    <t>81+7INF</t>
  </si>
  <si>
    <t>97+1INF</t>
  </si>
  <si>
    <t>80+0INF</t>
  </si>
  <si>
    <t>130+3INF</t>
  </si>
  <si>
    <t>98+3INF</t>
  </si>
  <si>
    <t>COMBAT AVIAITON</t>
  </si>
  <si>
    <t>LOCAL FLIGHT</t>
  </si>
  <si>
    <t>MILITARY</t>
  </si>
  <si>
    <t>US ARMY</t>
  </si>
  <si>
    <t>POZ-TZL</t>
  </si>
  <si>
    <t>DUKE69</t>
  </si>
  <si>
    <t>ROP</t>
  </si>
  <si>
    <t>54+0 INF</t>
  </si>
  <si>
    <t>103+6 INF</t>
  </si>
  <si>
    <t>BE20</t>
  </si>
  <si>
    <t>109+0INF</t>
  </si>
  <si>
    <t>AIR BOHEMIA</t>
  </si>
  <si>
    <t>QGY-TZL-NUE</t>
  </si>
  <si>
    <t>PIPER 3</t>
  </si>
  <si>
    <t>OK-OKV</t>
  </si>
  <si>
    <t>TZL-WIE</t>
  </si>
  <si>
    <t>136+0INF</t>
  </si>
  <si>
    <t>91+1INF</t>
  </si>
  <si>
    <t>77+0INF</t>
  </si>
  <si>
    <t>134+5INF</t>
  </si>
  <si>
    <t>100+3INF</t>
  </si>
  <si>
    <t>144+3INF</t>
  </si>
  <si>
    <t>139+4INF</t>
  </si>
  <si>
    <t>HA-LWO</t>
  </si>
  <si>
    <t>BUD-TZL</t>
  </si>
  <si>
    <t>NON-SCH (T)</t>
  </si>
  <si>
    <t>W6801</t>
  </si>
  <si>
    <t>40+1 INF</t>
  </si>
  <si>
    <t>103+4 INF</t>
  </si>
  <si>
    <t>132+9 INF</t>
  </si>
  <si>
    <t>141+10INF</t>
  </si>
  <si>
    <t>125+3INF</t>
  </si>
  <si>
    <t>114+0INF</t>
  </si>
  <si>
    <t>TZL-TIA-TZL</t>
  </si>
  <si>
    <t>R26260</t>
  </si>
  <si>
    <t>TZL-BUD</t>
  </si>
  <si>
    <t>149+6 INF</t>
  </si>
  <si>
    <t>153+2INF</t>
  </si>
  <si>
    <t>126+2INF</t>
  </si>
  <si>
    <t>134+4INF</t>
  </si>
  <si>
    <t>118+5INF</t>
  </si>
  <si>
    <t>155+5INF</t>
  </si>
  <si>
    <t>TZLGOT-TZL</t>
  </si>
  <si>
    <t>121+4INF</t>
  </si>
  <si>
    <t>W64296</t>
  </si>
  <si>
    <t>W64283</t>
  </si>
  <si>
    <t>128+0INF</t>
  </si>
  <si>
    <t>86+4INF</t>
  </si>
  <si>
    <t>122+4INF</t>
  </si>
  <si>
    <t>139+5 INF</t>
  </si>
  <si>
    <t>129+2 INF</t>
  </si>
  <si>
    <t>101+2 INF</t>
  </si>
  <si>
    <t>102+7 INF</t>
  </si>
  <si>
    <t>53+1INF</t>
  </si>
  <si>
    <t>148+1INF</t>
  </si>
  <si>
    <t>94+4INF</t>
  </si>
  <si>
    <t>66+3INF</t>
  </si>
  <si>
    <t>116+5INF</t>
  </si>
  <si>
    <t>tip OPER</t>
  </si>
  <si>
    <t>ZAG-TZL</t>
  </si>
  <si>
    <t>142+9INF</t>
  </si>
  <si>
    <t>100+2INF</t>
  </si>
  <si>
    <t>71+3 INF</t>
  </si>
  <si>
    <t>148+0 INF</t>
  </si>
  <si>
    <t>WIE-TZL-POZ</t>
  </si>
  <si>
    <t>DUKE11</t>
  </si>
  <si>
    <t>135+1 INF</t>
  </si>
  <si>
    <t>TZL-ZAD</t>
  </si>
  <si>
    <t>UH60</t>
  </si>
  <si>
    <t>R20613</t>
  </si>
  <si>
    <t>R20352</t>
  </si>
  <si>
    <t>MILITARY/HEL</t>
  </si>
  <si>
    <t>TZL-ZAG</t>
  </si>
  <si>
    <t>R20165</t>
  </si>
  <si>
    <t>LOKO</t>
  </si>
  <si>
    <t>R2016</t>
  </si>
  <si>
    <t>61+1INF</t>
  </si>
  <si>
    <t>127+4INF</t>
  </si>
  <si>
    <t>110+3INF</t>
  </si>
  <si>
    <t>125+2INF</t>
  </si>
  <si>
    <t>136+5INF</t>
  </si>
  <si>
    <t>106+3INF</t>
  </si>
  <si>
    <t>HELIMASTER</t>
  </si>
  <si>
    <t>TZL-TREBINJE</t>
  </si>
  <si>
    <t>Aw109sp</t>
  </si>
  <si>
    <t>T</t>
  </si>
  <si>
    <t>YU-HRD</t>
  </si>
  <si>
    <t>HA-LWO/LYN</t>
  </si>
  <si>
    <t>142+0 INF</t>
  </si>
  <si>
    <t>105+6 INF</t>
  </si>
  <si>
    <t>130+5 INF</t>
  </si>
  <si>
    <t>120+2 INF</t>
  </si>
  <si>
    <t>CREW ONLY</t>
  </si>
  <si>
    <t>HA-LYN</t>
  </si>
  <si>
    <t>117+0INF</t>
  </si>
  <si>
    <t>127+7INF</t>
  </si>
  <si>
    <t>131+4INF</t>
  </si>
  <si>
    <t>120+4INF</t>
  </si>
  <si>
    <t>POZ-TZL-WIE</t>
  </si>
  <si>
    <t>B20</t>
  </si>
  <si>
    <t>DUKE35</t>
  </si>
  <si>
    <t>DUKE63</t>
  </si>
  <si>
    <t>98+2INF</t>
  </si>
  <si>
    <t>124+9INF</t>
  </si>
  <si>
    <t>R26266</t>
  </si>
  <si>
    <t>150+5 INF</t>
  </si>
  <si>
    <t>ZAG-TZL-ZAG</t>
  </si>
  <si>
    <t>R20169</t>
  </si>
  <si>
    <t>134+3INF</t>
  </si>
  <si>
    <t>117+2INF</t>
  </si>
  <si>
    <t>134+1INF</t>
  </si>
  <si>
    <t>104+5INF</t>
  </si>
  <si>
    <t>145+3INF</t>
  </si>
  <si>
    <t>134+3 INF</t>
  </si>
  <si>
    <t>119+3 INF</t>
  </si>
  <si>
    <t>134+1 INF</t>
  </si>
  <si>
    <t>154+1 INF</t>
  </si>
  <si>
    <t>108+3INF</t>
  </si>
  <si>
    <t>141+4INF</t>
  </si>
  <si>
    <t>TBA</t>
  </si>
  <si>
    <t>71+3INF</t>
  </si>
  <si>
    <t>95+8INF</t>
  </si>
  <si>
    <t>112+3INF</t>
  </si>
  <si>
    <t>64+2INF</t>
  </si>
  <si>
    <t>79+2INF</t>
  </si>
  <si>
    <t>128+7INF</t>
  </si>
  <si>
    <t>55+1INF</t>
  </si>
  <si>
    <t>DUKE62</t>
  </si>
  <si>
    <t>UC35</t>
  </si>
  <si>
    <t>70+5INF</t>
  </si>
  <si>
    <t>119+1INF</t>
  </si>
  <si>
    <t>80+1 INF</t>
  </si>
  <si>
    <t>118+1 INF</t>
  </si>
  <si>
    <t>C560</t>
  </si>
  <si>
    <t>DUKE60</t>
  </si>
  <si>
    <t>113+3INF</t>
  </si>
  <si>
    <t>148+2INF</t>
  </si>
  <si>
    <t>45+1INF</t>
  </si>
  <si>
    <t>76+2INF</t>
  </si>
  <si>
    <t>91+1 INF</t>
  </si>
  <si>
    <t>SJJ-TZL-WIE</t>
  </si>
  <si>
    <t>C12</t>
  </si>
  <si>
    <t>0(3 TRANZIT)</t>
  </si>
  <si>
    <t>109+2INF</t>
  </si>
  <si>
    <t>118+1INF</t>
  </si>
  <si>
    <t>96+4INF</t>
  </si>
  <si>
    <t>136+1INF</t>
  </si>
  <si>
    <t>116+3INF</t>
  </si>
  <si>
    <t>136+2INF</t>
  </si>
  <si>
    <t>137+3INF</t>
  </si>
  <si>
    <t>106+4INF</t>
  </si>
  <si>
    <t>128+8INF</t>
  </si>
  <si>
    <t>154+3INF</t>
  </si>
  <si>
    <t>83+2INF</t>
  </si>
  <si>
    <t>124+0INF</t>
  </si>
  <si>
    <t>145+2INF</t>
  </si>
  <si>
    <t>135+5INF</t>
  </si>
  <si>
    <t>158+4 INF</t>
  </si>
  <si>
    <t>87+2 INF</t>
  </si>
  <si>
    <t>126+4 INF</t>
  </si>
  <si>
    <t>108+4 INF</t>
  </si>
  <si>
    <t>130+4 INF</t>
  </si>
  <si>
    <t>113+3 INF</t>
  </si>
  <si>
    <t>111+1INF</t>
  </si>
  <si>
    <t>122+3INF</t>
  </si>
  <si>
    <t>Thomas Ambiel</t>
  </si>
  <si>
    <t>GRZ-TZL</t>
  </si>
  <si>
    <t>COL350</t>
  </si>
  <si>
    <t>N6509Z</t>
  </si>
  <si>
    <t>GEN AVI</t>
  </si>
  <si>
    <t>72+1INF</t>
  </si>
  <si>
    <t>50+0INF</t>
  </si>
  <si>
    <t>110+5INF</t>
  </si>
  <si>
    <t>HA-LWP</t>
  </si>
  <si>
    <t>59+2 INF</t>
  </si>
  <si>
    <t>137+6INF</t>
  </si>
  <si>
    <t>76+1INF</t>
  </si>
  <si>
    <t>30+1INF</t>
  </si>
  <si>
    <t>CPH-TZL-SJJ</t>
  </si>
  <si>
    <t>HA-LYG</t>
  </si>
  <si>
    <t>NON SCHEDULED</t>
  </si>
  <si>
    <t>W64630</t>
  </si>
  <si>
    <t>87+14INF</t>
  </si>
  <si>
    <t>77+1INF</t>
  </si>
  <si>
    <t>82+2INF</t>
  </si>
  <si>
    <t>92+4INF</t>
  </si>
  <si>
    <t>54+1INF</t>
  </si>
  <si>
    <t>KOL350</t>
  </si>
  <si>
    <t>PRIVATE</t>
  </si>
  <si>
    <t>THOMAS AMBIEL</t>
  </si>
  <si>
    <t>74+1INF</t>
  </si>
  <si>
    <t>60+3INF</t>
  </si>
  <si>
    <t>73+0 INF</t>
  </si>
  <si>
    <t>102+1INF</t>
  </si>
  <si>
    <t>97+2INF</t>
  </si>
  <si>
    <t>90+3INF</t>
  </si>
  <si>
    <t>92+1INF</t>
  </si>
  <si>
    <t>107+6INF</t>
  </si>
  <si>
    <t>134+2INF</t>
  </si>
  <si>
    <t>123+1INF</t>
  </si>
  <si>
    <t>111+2 INF</t>
  </si>
  <si>
    <t>TZL-EDRY</t>
  </si>
  <si>
    <t>COL3</t>
  </si>
  <si>
    <t>GEN.AVI</t>
  </si>
  <si>
    <t>2+0 INF</t>
  </si>
  <si>
    <t>132+6 INF</t>
  </si>
  <si>
    <t>128+3 INF</t>
  </si>
  <si>
    <t>84+1 INF</t>
  </si>
  <si>
    <t>73+2 INF</t>
  </si>
  <si>
    <t>132+4INF</t>
  </si>
  <si>
    <t>118+5 INF</t>
  </si>
  <si>
    <t>102+3 INF</t>
  </si>
  <si>
    <t>127+4 INF</t>
  </si>
  <si>
    <t>98+0 INF</t>
  </si>
  <si>
    <t>106+4 INF</t>
  </si>
  <si>
    <t>83+0INF</t>
  </si>
  <si>
    <t>59+1INF</t>
  </si>
  <si>
    <t>32+1INF</t>
  </si>
  <si>
    <t>99+5INF</t>
  </si>
  <si>
    <t>105+2INF</t>
  </si>
  <si>
    <t>67+2INF</t>
  </si>
  <si>
    <t>108+6INF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</si>
</sst>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2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4" fontId="3" fillId="0" borderId="0" xfId="0" applyNumberFormat="1" applyFont="1"/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C30" sqref="C30"/>
    </sheetView>
  </sheetViews>
  <sheetFormatPr defaultRowHeight="15" x14ac:dyDescent="0.25"/>
  <cols>
    <col min="1" max="1" width="10.140625" bestFit="1" customWidth="1"/>
    <col min="2" max="2" width="20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44317</v>
      </c>
      <c r="B2" s="4" t="s">
        <v>21</v>
      </c>
      <c r="C2" s="4" t="s">
        <v>27</v>
      </c>
      <c r="D2" s="4" t="s">
        <v>22</v>
      </c>
      <c r="E2" s="4" t="s">
        <v>33</v>
      </c>
      <c r="F2" s="4" t="s">
        <v>23</v>
      </c>
      <c r="G2" s="4">
        <v>70000</v>
      </c>
      <c r="H2" s="4" t="s">
        <v>28</v>
      </c>
      <c r="I2" s="4" t="s">
        <v>29</v>
      </c>
      <c r="J2" s="5">
        <v>0.4375</v>
      </c>
      <c r="K2" s="6">
        <v>0.42708333333333331</v>
      </c>
      <c r="L2" s="5">
        <v>0.27083333333333331</v>
      </c>
      <c r="M2" s="6">
        <v>0.27152777777777776</v>
      </c>
      <c r="N2" s="4" t="s">
        <v>37</v>
      </c>
      <c r="O2" s="4" t="s">
        <v>35</v>
      </c>
      <c r="P2" s="4">
        <v>546</v>
      </c>
      <c r="Q2" s="4">
        <v>554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44317</v>
      </c>
      <c r="B3" s="4" t="s">
        <v>21</v>
      </c>
      <c r="C3" s="4" t="s">
        <v>24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25</v>
      </c>
      <c r="I3" s="4" t="s">
        <v>26</v>
      </c>
      <c r="J3" s="5">
        <v>0.64236111111111105</v>
      </c>
      <c r="K3" s="6">
        <v>0.65972222222222221</v>
      </c>
      <c r="L3" s="5">
        <v>0.28819444444444448</v>
      </c>
      <c r="M3" s="6">
        <v>0.28680555555555554</v>
      </c>
      <c r="N3" s="4" t="s">
        <v>46</v>
      </c>
      <c r="O3" s="4" t="s">
        <v>36</v>
      </c>
      <c r="P3" s="4">
        <v>1248</v>
      </c>
      <c r="Q3" s="4">
        <v>432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44317</v>
      </c>
      <c r="B4" s="4" t="s">
        <v>21</v>
      </c>
      <c r="C4" s="4" t="s">
        <v>30</v>
      </c>
      <c r="D4" s="4" t="s">
        <v>22</v>
      </c>
      <c r="E4" s="4" t="str">
        <f>E2</f>
        <v>HA-LPJ</v>
      </c>
      <c r="F4" s="4" t="s">
        <v>23</v>
      </c>
      <c r="G4" s="4">
        <v>70000</v>
      </c>
      <c r="H4" s="4" t="s">
        <v>31</v>
      </c>
      <c r="I4" s="4" t="s">
        <v>32</v>
      </c>
      <c r="J4" s="5">
        <v>0.67361111111111116</v>
      </c>
      <c r="K4" s="6">
        <v>0.66249999999999998</v>
      </c>
      <c r="L4" s="5">
        <v>0.46875</v>
      </c>
      <c r="M4" s="6">
        <v>0.46458333333333335</v>
      </c>
      <c r="N4" s="4" t="s">
        <v>47</v>
      </c>
      <c r="O4" s="4" t="s">
        <v>38</v>
      </c>
      <c r="P4" s="4">
        <v>868</v>
      </c>
      <c r="Q4" s="4">
        <v>385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44317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>
        <v>1407</v>
      </c>
      <c r="H5" s="4" t="s">
        <v>44</v>
      </c>
      <c r="I5" s="4" t="s">
        <v>44</v>
      </c>
      <c r="J5" s="5">
        <v>0.41666666666666669</v>
      </c>
      <c r="K5" s="6">
        <v>0.43472222222222223</v>
      </c>
      <c r="L5" s="5">
        <v>0.46875</v>
      </c>
      <c r="M5" s="6">
        <v>0.45902777777777781</v>
      </c>
      <c r="N5" s="4" t="s">
        <v>45</v>
      </c>
      <c r="O5" s="4" t="s">
        <v>45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4" sqref="A4"/>
    </sheetView>
  </sheetViews>
  <sheetFormatPr defaultRowHeight="15" x14ac:dyDescent="0.25"/>
  <cols>
    <col min="1" max="1" width="10.140625" bestFit="1" customWidth="1"/>
    <col min="3" max="3" width="19.140625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44318</v>
      </c>
      <c r="B2" s="4" t="s">
        <v>21</v>
      </c>
      <c r="C2" s="4" t="s">
        <v>48</v>
      </c>
      <c r="D2" s="4" t="s">
        <v>22</v>
      </c>
      <c r="E2" s="4" t="s">
        <v>57</v>
      </c>
      <c r="F2" s="4" t="s">
        <v>23</v>
      </c>
      <c r="G2" s="4">
        <v>70000</v>
      </c>
      <c r="H2" s="4" t="s">
        <v>51</v>
      </c>
      <c r="I2" s="4" t="s">
        <v>54</v>
      </c>
      <c r="J2" s="5">
        <v>0.70486111111111116</v>
      </c>
      <c r="K2" s="6">
        <v>0.6972222222222223</v>
      </c>
      <c r="L2" s="5">
        <v>0.46875</v>
      </c>
      <c r="M2" s="6">
        <v>0.47013888888888888</v>
      </c>
      <c r="N2" s="4" t="s">
        <v>60</v>
      </c>
      <c r="O2" s="4">
        <v>79</v>
      </c>
      <c r="P2" s="4">
        <v>1464</v>
      </c>
      <c r="Q2" s="4">
        <v>808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44318</v>
      </c>
      <c r="B3" s="4" t="s">
        <v>21</v>
      </c>
      <c r="C3" s="4" t="s">
        <v>49</v>
      </c>
      <c r="D3" s="4" t="s">
        <v>22</v>
      </c>
      <c r="E3" s="4" t="s">
        <v>50</v>
      </c>
      <c r="F3" s="4" t="s">
        <v>23</v>
      </c>
      <c r="G3" s="4">
        <v>70000</v>
      </c>
      <c r="H3" s="4" t="s">
        <v>52</v>
      </c>
      <c r="I3" s="4" t="s">
        <v>53</v>
      </c>
      <c r="J3" s="5">
        <v>0.69444444444444453</v>
      </c>
      <c r="K3" s="6">
        <v>0.7055555555555556</v>
      </c>
      <c r="L3" s="5">
        <v>0.51736111111111105</v>
      </c>
      <c r="M3" s="6">
        <v>0.52500000000000002</v>
      </c>
      <c r="N3" s="4" t="s">
        <v>61</v>
      </c>
      <c r="O3" s="4" t="s">
        <v>55</v>
      </c>
      <c r="P3" s="4">
        <v>993</v>
      </c>
      <c r="Q3" s="4">
        <v>844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v>44318</v>
      </c>
      <c r="B4" s="4" t="s">
        <v>21</v>
      </c>
      <c r="C4" s="4" t="s">
        <v>56</v>
      </c>
      <c r="D4" s="4" t="s">
        <v>22</v>
      </c>
      <c r="E4" s="4" t="s">
        <v>64</v>
      </c>
      <c r="F4" s="4" t="s">
        <v>23</v>
      </c>
      <c r="G4" s="4">
        <v>70000</v>
      </c>
      <c r="H4" s="4" t="s">
        <v>58</v>
      </c>
      <c r="I4" s="4" t="s">
        <v>59</v>
      </c>
      <c r="J4" s="6">
        <v>0.90625</v>
      </c>
      <c r="K4" s="6">
        <v>0.91041666666666676</v>
      </c>
      <c r="L4" s="6">
        <v>0.71527777777777779</v>
      </c>
      <c r="M4" s="6">
        <v>0.73749999999999993</v>
      </c>
      <c r="N4" s="4" t="s">
        <v>63</v>
      </c>
      <c r="O4" s="4" t="s">
        <v>62</v>
      </c>
      <c r="P4" s="4">
        <v>1127</v>
      </c>
      <c r="Q4" s="4">
        <v>668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L6" sqref="L6"/>
    </sheetView>
  </sheetViews>
  <sheetFormatPr defaultRowHeight="12.75" x14ac:dyDescent="0.2"/>
  <cols>
    <col min="1" max="1" width="10.140625" style="4" bestFit="1" customWidth="1"/>
    <col min="2" max="2" width="9.140625" style="4"/>
    <col min="3" max="3" width="13.5703125" style="4" bestFit="1" customWidth="1"/>
    <col min="4" max="4" width="5.7109375" style="4" bestFit="1" customWidth="1"/>
    <col min="5" max="5" width="12" style="4" customWidth="1"/>
    <col min="6" max="6" width="13.85546875" style="4" customWidth="1"/>
    <col min="7" max="7" width="9.140625" style="4"/>
    <col min="8" max="8" width="13.42578125" style="4" customWidth="1"/>
    <col min="9" max="16384" width="9.140625" style="4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44319</v>
      </c>
      <c r="B2" s="4" t="s">
        <v>21</v>
      </c>
      <c r="C2" s="4" t="s">
        <v>65</v>
      </c>
      <c r="D2" s="4" t="s">
        <v>22</v>
      </c>
      <c r="E2" s="4" t="s">
        <v>57</v>
      </c>
      <c r="F2" s="4" t="s">
        <v>23</v>
      </c>
      <c r="G2" s="4">
        <v>70000</v>
      </c>
      <c r="H2" s="4" t="s">
        <v>69</v>
      </c>
      <c r="I2" s="4" t="s">
        <v>73</v>
      </c>
      <c r="J2" s="5">
        <v>0.45833333333333331</v>
      </c>
      <c r="K2" s="6">
        <v>0.45</v>
      </c>
      <c r="L2" s="5">
        <v>0.25694444444444448</v>
      </c>
      <c r="M2" s="6">
        <v>0.25277777777777777</v>
      </c>
      <c r="N2" s="4" t="s">
        <v>77</v>
      </c>
      <c r="O2" s="4" t="s">
        <v>76</v>
      </c>
      <c r="P2" s="4">
        <v>731</v>
      </c>
      <c r="Q2" s="4">
        <v>464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3">
        <v>44319</v>
      </c>
      <c r="B3" s="4" t="s">
        <v>21</v>
      </c>
      <c r="C3" s="4" t="s">
        <v>66</v>
      </c>
      <c r="D3" s="4" t="s">
        <v>22</v>
      </c>
      <c r="E3" s="4" t="s">
        <v>64</v>
      </c>
      <c r="F3" s="4" t="s">
        <v>23</v>
      </c>
      <c r="G3" s="4">
        <v>70000</v>
      </c>
      <c r="H3" s="4" t="s">
        <v>70</v>
      </c>
      <c r="I3" s="4" t="s">
        <v>74</v>
      </c>
      <c r="J3" s="5">
        <v>0.90277777777777779</v>
      </c>
      <c r="K3" s="6">
        <v>0.89374999999999993</v>
      </c>
      <c r="L3" s="5">
        <v>0.46875</v>
      </c>
      <c r="M3" s="6">
        <v>0.47361111111111115</v>
      </c>
      <c r="N3" s="4" t="s">
        <v>89</v>
      </c>
      <c r="O3" s="4" t="s">
        <v>78</v>
      </c>
      <c r="P3" s="4">
        <v>632</v>
      </c>
      <c r="Q3" s="4">
        <v>629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v>44319</v>
      </c>
      <c r="B4" s="4" t="s">
        <v>21</v>
      </c>
      <c r="C4" s="4" t="s">
        <v>67</v>
      </c>
      <c r="D4" s="4" t="s">
        <v>22</v>
      </c>
      <c r="E4" s="4" t="str">
        <f>E2</f>
        <v>HALYK</v>
      </c>
      <c r="F4" s="4" t="s">
        <v>23</v>
      </c>
      <c r="G4" s="4">
        <v>70000</v>
      </c>
      <c r="H4" s="4" t="s">
        <v>71</v>
      </c>
      <c r="I4" s="4" t="s">
        <v>75</v>
      </c>
      <c r="J4" s="5">
        <v>0.71875</v>
      </c>
      <c r="K4" s="6">
        <v>0.70416666666666661</v>
      </c>
      <c r="L4" s="5">
        <v>0.48958333333333331</v>
      </c>
      <c r="M4" s="6">
        <v>0.49374999999999997</v>
      </c>
      <c r="N4" s="4" t="s">
        <v>81</v>
      </c>
      <c r="O4" s="4" t="s">
        <v>79</v>
      </c>
      <c r="P4" s="4">
        <v>524</v>
      </c>
      <c r="Q4" s="4">
        <v>566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3">
        <v>44319</v>
      </c>
      <c r="B5" s="4" t="s">
        <v>21</v>
      </c>
      <c r="C5" s="4" t="s">
        <v>68</v>
      </c>
      <c r="D5" s="4" t="s">
        <v>22</v>
      </c>
      <c r="E5" s="4" t="str">
        <f>E4</f>
        <v>HALYK</v>
      </c>
      <c r="F5" s="4" t="s">
        <v>23</v>
      </c>
      <c r="G5" s="4">
        <v>70000</v>
      </c>
      <c r="H5" s="4" t="s">
        <v>72</v>
      </c>
      <c r="I5" s="4" t="s">
        <v>72</v>
      </c>
      <c r="J5" s="5">
        <v>0.92013888888888884</v>
      </c>
      <c r="K5" s="6">
        <v>0.92152777777777783</v>
      </c>
      <c r="L5" s="5">
        <v>0.73958333333333337</v>
      </c>
      <c r="M5" s="6">
        <v>0.7416666666666667</v>
      </c>
      <c r="N5" s="4" t="s">
        <v>90</v>
      </c>
      <c r="O5" s="4" t="s">
        <v>80</v>
      </c>
      <c r="P5" s="4">
        <v>791</v>
      </c>
      <c r="Q5" s="4">
        <v>425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3">
        <v>44319</v>
      </c>
      <c r="B6" s="4" t="s">
        <v>82</v>
      </c>
      <c r="C6" s="4" t="s">
        <v>83</v>
      </c>
      <c r="D6" s="4" t="s">
        <v>84</v>
      </c>
      <c r="E6" s="4" t="s">
        <v>86</v>
      </c>
      <c r="F6" s="4" t="s">
        <v>88</v>
      </c>
      <c r="G6" s="4">
        <v>10</v>
      </c>
      <c r="H6" s="4" t="s">
        <v>86</v>
      </c>
      <c r="I6" s="7"/>
      <c r="J6" s="5">
        <v>0.62847222222222221</v>
      </c>
      <c r="K6" s="6">
        <v>0.66875000000000007</v>
      </c>
      <c r="L6" s="7"/>
      <c r="M6" s="7"/>
      <c r="N6" s="7"/>
      <c r="O6" s="7"/>
      <c r="P6" s="7"/>
      <c r="Q6" s="7"/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3">
        <v>44319</v>
      </c>
      <c r="B7" s="4" t="s">
        <v>82</v>
      </c>
      <c r="C7" s="4" t="s">
        <v>83</v>
      </c>
      <c r="D7" s="4" t="s">
        <v>85</v>
      </c>
      <c r="E7" s="4" t="s">
        <v>87</v>
      </c>
      <c r="F7" s="4" t="s">
        <v>88</v>
      </c>
      <c r="G7" s="4">
        <v>10</v>
      </c>
      <c r="H7" s="4" t="s">
        <v>86</v>
      </c>
      <c r="I7" s="7"/>
      <c r="J7" s="5">
        <v>0.62847222222222221</v>
      </c>
      <c r="K7" s="6">
        <v>0.66875000000000007</v>
      </c>
      <c r="L7" s="7"/>
      <c r="M7" s="7"/>
      <c r="N7" s="7"/>
      <c r="O7" s="7"/>
      <c r="P7" s="7"/>
      <c r="Q7" s="7"/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J8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2"/>
    </sheetView>
  </sheetViews>
  <sheetFormatPr defaultRowHeight="15" x14ac:dyDescent="0.25"/>
  <cols>
    <col min="1" max="1" width="10.140625" bestFit="1" customWidth="1"/>
    <col min="2" max="2" width="9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44320</v>
      </c>
      <c r="B2" s="4" t="s">
        <v>21</v>
      </c>
      <c r="C2" s="4" t="s">
        <v>24</v>
      </c>
      <c r="D2" s="4" t="s">
        <v>22</v>
      </c>
      <c r="E2" s="4" t="s">
        <v>33</v>
      </c>
      <c r="F2" s="4" t="s">
        <v>23</v>
      </c>
      <c r="G2" s="4">
        <v>70000</v>
      </c>
      <c r="H2" s="4" t="s">
        <v>25</v>
      </c>
      <c r="I2" s="4" t="s">
        <v>26</v>
      </c>
      <c r="J2" s="5">
        <v>0.62152777777777779</v>
      </c>
      <c r="K2" s="6">
        <v>0.65972222222222221</v>
      </c>
      <c r="L2" s="5">
        <v>0.2673611111111111</v>
      </c>
      <c r="M2" s="6">
        <v>0.2722222222222222</v>
      </c>
      <c r="N2" s="4" t="s">
        <v>92</v>
      </c>
      <c r="O2" s="4" t="s">
        <v>35</v>
      </c>
      <c r="P2" s="4">
        <v>781</v>
      </c>
      <c r="Q2" s="4">
        <v>562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44320</v>
      </c>
      <c r="B3" s="4" t="s">
        <v>21</v>
      </c>
      <c r="C3" s="4" t="s">
        <v>30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31</v>
      </c>
      <c r="I3" s="4" t="s">
        <v>32</v>
      </c>
      <c r="J3" s="5">
        <v>0.67361111111111116</v>
      </c>
      <c r="K3" s="6">
        <v>0.66180555555555554</v>
      </c>
      <c r="L3" s="5">
        <v>0.46875</v>
      </c>
      <c r="M3" s="6">
        <v>0.47222222222222227</v>
      </c>
      <c r="N3" s="4" t="s">
        <v>93</v>
      </c>
      <c r="O3" s="4" t="s">
        <v>91</v>
      </c>
      <c r="P3" s="4">
        <v>665</v>
      </c>
      <c r="Q3" s="4">
        <v>427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N3" sqref="N3"/>
    </sheetView>
  </sheetViews>
  <sheetFormatPr defaultRowHeight="15" x14ac:dyDescent="0.25"/>
  <cols>
    <col min="1" max="1" width="10.140625" bestFit="1" customWidth="1"/>
    <col min="2" max="2" width="9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44321</v>
      </c>
      <c r="B2" s="4" t="s">
        <v>21</v>
      </c>
      <c r="C2" s="4" t="s">
        <v>66</v>
      </c>
      <c r="D2" s="4" t="s">
        <v>22</v>
      </c>
      <c r="E2" s="4" t="s">
        <v>33</v>
      </c>
      <c r="F2" s="4" t="s">
        <v>23</v>
      </c>
      <c r="G2" s="4">
        <v>70000</v>
      </c>
      <c r="H2" s="4" t="s">
        <v>70</v>
      </c>
      <c r="I2" s="4" t="s">
        <v>74</v>
      </c>
      <c r="J2" s="5">
        <v>0.65972222222222221</v>
      </c>
      <c r="K2" s="6">
        <v>0.65347222222222223</v>
      </c>
      <c r="L2" s="5">
        <v>0.47569444444444442</v>
      </c>
      <c r="M2" s="6">
        <v>0.4770833333333333</v>
      </c>
      <c r="N2" s="4" t="s">
        <v>95</v>
      </c>
      <c r="O2" s="4" t="s">
        <v>94</v>
      </c>
      <c r="P2" s="4">
        <v>973</v>
      </c>
      <c r="Q2" s="4">
        <v>604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44321</v>
      </c>
      <c r="B3" s="4" t="s">
        <v>21</v>
      </c>
      <c r="C3" s="4" t="s">
        <v>48</v>
      </c>
      <c r="D3" s="4" t="s">
        <v>22</v>
      </c>
      <c r="E3" s="4" t="s">
        <v>33</v>
      </c>
      <c r="F3" s="4" t="s">
        <v>23</v>
      </c>
      <c r="G3" s="4">
        <v>70000</v>
      </c>
      <c r="H3" s="4" t="s">
        <v>51</v>
      </c>
      <c r="I3" s="4" t="s">
        <v>54</v>
      </c>
      <c r="J3" s="5">
        <v>0.91319444444444453</v>
      </c>
      <c r="K3" s="6">
        <v>0.90277777777777779</v>
      </c>
      <c r="L3" s="5">
        <v>0.68055555555555547</v>
      </c>
      <c r="M3" s="6">
        <v>0.68472222222222223</v>
      </c>
      <c r="N3" s="4" t="s">
        <v>96</v>
      </c>
      <c r="O3" s="4" t="s">
        <v>94</v>
      </c>
      <c r="P3" s="4">
        <v>673</v>
      </c>
      <c r="Q3" s="4">
        <v>655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3" sqref="A3:U3"/>
    </sheetView>
  </sheetViews>
  <sheetFormatPr defaultRowHeight="15" x14ac:dyDescent="0.25"/>
  <cols>
    <col min="2" max="2" width="18.28515625" bestFit="1" customWidth="1"/>
    <col min="3" max="3" width="13.7109375" customWidth="1"/>
    <col min="6" max="6" width="14.5703125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44322</v>
      </c>
      <c r="B2" s="4" t="s">
        <v>21</v>
      </c>
      <c r="C2" s="4" t="s">
        <v>24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25</v>
      </c>
      <c r="I2" s="4" t="s">
        <v>26</v>
      </c>
      <c r="J2" s="5">
        <v>0.94097222222222221</v>
      </c>
      <c r="K2" s="6">
        <v>0.92847222222222225</v>
      </c>
      <c r="L2" s="5">
        <v>0.79513888888888884</v>
      </c>
      <c r="M2" s="6">
        <v>0.7944444444444444</v>
      </c>
      <c r="N2" s="4" t="s">
        <v>105</v>
      </c>
      <c r="O2" s="4" t="s">
        <v>104</v>
      </c>
      <c r="P2" s="4">
        <v>917</v>
      </c>
      <c r="Q2" s="4">
        <v>416</v>
      </c>
      <c r="R2" s="4">
        <v>0</v>
      </c>
      <c r="S2" s="4">
        <v>0</v>
      </c>
      <c r="T2" s="4">
        <v>0</v>
      </c>
      <c r="U2" s="4">
        <v>0</v>
      </c>
    </row>
    <row r="3" spans="1:21" s="9" customFormat="1" x14ac:dyDescent="0.25">
      <c r="A3" s="3">
        <v>44322</v>
      </c>
      <c r="B3" s="4" t="s">
        <v>97</v>
      </c>
      <c r="C3" s="4" t="s">
        <v>98</v>
      </c>
      <c r="D3" s="4" t="s">
        <v>84</v>
      </c>
      <c r="E3" s="4">
        <v>262690</v>
      </c>
      <c r="F3" s="4" t="s">
        <v>99</v>
      </c>
      <c r="G3" s="4">
        <v>9979</v>
      </c>
      <c r="H3" s="4" t="s">
        <v>44</v>
      </c>
      <c r="I3" s="4" t="s">
        <v>44</v>
      </c>
      <c r="J3" s="6">
        <v>0.45833333333333331</v>
      </c>
      <c r="K3" s="6">
        <v>0.47152777777777777</v>
      </c>
      <c r="L3" s="6">
        <v>0.375</v>
      </c>
      <c r="M3" s="6">
        <v>0.3888888888888889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 s="10" customFormat="1" ht="12.75" x14ac:dyDescent="0.2">
      <c r="A4" s="3">
        <v>44322</v>
      </c>
      <c r="B4" s="4" t="s">
        <v>100</v>
      </c>
      <c r="C4" s="4" t="s">
        <v>101</v>
      </c>
      <c r="D4" s="4" t="s">
        <v>106</v>
      </c>
      <c r="E4" s="4">
        <v>40162</v>
      </c>
      <c r="F4" s="4" t="s">
        <v>99</v>
      </c>
      <c r="G4" s="4">
        <v>6000</v>
      </c>
      <c r="H4" s="4" t="s">
        <v>102</v>
      </c>
      <c r="I4" s="4" t="s">
        <v>103</v>
      </c>
      <c r="J4" s="6">
        <v>0.88194444444444453</v>
      </c>
      <c r="K4" s="6">
        <v>0.8833333333333333</v>
      </c>
      <c r="L4" s="4" t="s">
        <v>103</v>
      </c>
      <c r="M4" s="4" t="s">
        <v>103</v>
      </c>
      <c r="N4" s="4">
        <v>5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7" sqref="J7"/>
    </sheetView>
  </sheetViews>
  <sheetFormatPr defaultRowHeight="12.75" x14ac:dyDescent="0.2"/>
  <cols>
    <col min="1" max="1" width="10.140625" style="4" bestFit="1" customWidth="1"/>
    <col min="2" max="2" width="13.42578125" style="4" customWidth="1"/>
    <col min="3" max="3" width="17.28515625" style="4" customWidth="1"/>
    <col min="4" max="4" width="10.140625" style="4" customWidth="1"/>
    <col min="5" max="5" width="12" style="4" customWidth="1"/>
    <col min="6" max="6" width="16.42578125" style="4" customWidth="1"/>
    <col min="7" max="7" width="11.140625" style="4" customWidth="1"/>
    <col min="8" max="8" width="15.28515625" style="4" customWidth="1"/>
    <col min="9" max="16384" width="9.140625" style="4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44323</v>
      </c>
      <c r="B2" s="4" t="s">
        <v>21</v>
      </c>
      <c r="C2" s="4" t="s">
        <v>65</v>
      </c>
      <c r="D2" s="4" t="s">
        <v>22</v>
      </c>
      <c r="E2" s="4" t="s">
        <v>64</v>
      </c>
      <c r="F2" s="4" t="s">
        <v>23</v>
      </c>
      <c r="G2" s="4">
        <v>70000</v>
      </c>
      <c r="H2" s="4" t="s">
        <v>69</v>
      </c>
      <c r="I2" s="4" t="s">
        <v>73</v>
      </c>
      <c r="J2" s="5">
        <v>0.58333333333333337</v>
      </c>
      <c r="K2" s="6">
        <v>0.57708333333333328</v>
      </c>
      <c r="L2" s="5">
        <v>0.38194444444444442</v>
      </c>
      <c r="M2" s="5">
        <v>0.38472222222222219</v>
      </c>
      <c r="N2" s="4" t="s">
        <v>113</v>
      </c>
      <c r="O2" s="8" t="s">
        <v>107</v>
      </c>
      <c r="P2" s="4">
        <v>927</v>
      </c>
      <c r="Q2" s="4">
        <v>811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3">
        <v>44323</v>
      </c>
      <c r="B3" s="4" t="s">
        <v>21</v>
      </c>
      <c r="C3" s="4" t="s">
        <v>66</v>
      </c>
      <c r="D3" s="4" t="s">
        <v>22</v>
      </c>
      <c r="E3" s="4" t="s">
        <v>57</v>
      </c>
      <c r="F3" s="4" t="s">
        <v>23</v>
      </c>
      <c r="G3" s="4">
        <v>70000</v>
      </c>
      <c r="H3" s="4" t="s">
        <v>70</v>
      </c>
      <c r="I3" s="4" t="s">
        <v>74</v>
      </c>
      <c r="J3" s="5">
        <v>0.70833333333333337</v>
      </c>
      <c r="K3" s="6">
        <v>0.70763888888888893</v>
      </c>
      <c r="L3" s="5">
        <v>0.52083333333333337</v>
      </c>
      <c r="M3" s="6">
        <v>0.52361111111111114</v>
      </c>
      <c r="N3" s="4" t="s">
        <v>116</v>
      </c>
      <c r="O3" s="4" t="s">
        <v>114</v>
      </c>
      <c r="P3" s="4">
        <v>1030</v>
      </c>
      <c r="Q3" s="4">
        <v>710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v>44323</v>
      </c>
      <c r="B4" s="4" t="s">
        <v>21</v>
      </c>
      <c r="C4" s="4" t="s">
        <v>67</v>
      </c>
      <c r="D4" s="4" t="s">
        <v>22</v>
      </c>
      <c r="E4" s="4" t="s">
        <v>64</v>
      </c>
      <c r="F4" s="4" t="s">
        <v>23</v>
      </c>
      <c r="G4" s="4">
        <v>70000</v>
      </c>
      <c r="H4" s="4" t="s">
        <v>71</v>
      </c>
      <c r="I4" s="4" t="s">
        <v>75</v>
      </c>
      <c r="J4" s="5">
        <v>0.84375</v>
      </c>
      <c r="K4" s="6">
        <v>0.8354166666666667</v>
      </c>
      <c r="L4" s="5">
        <v>0.61458333333333337</v>
      </c>
      <c r="M4" s="6">
        <v>0.6166666666666667</v>
      </c>
      <c r="N4" s="4" t="s">
        <v>118</v>
      </c>
      <c r="O4" s="4" t="s">
        <v>115</v>
      </c>
      <c r="P4" s="4">
        <v>927</v>
      </c>
      <c r="Q4" s="4">
        <v>346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3">
        <v>44323</v>
      </c>
      <c r="B5" s="4" t="s">
        <v>21</v>
      </c>
      <c r="C5" s="4" t="s">
        <v>68</v>
      </c>
      <c r="D5" s="4" t="s">
        <v>22</v>
      </c>
      <c r="E5" s="4" t="s">
        <v>57</v>
      </c>
      <c r="F5" s="4" t="s">
        <v>23</v>
      </c>
      <c r="G5" s="4">
        <v>70000</v>
      </c>
      <c r="H5" s="4" t="s">
        <v>72</v>
      </c>
      <c r="I5" s="4" t="s">
        <v>72</v>
      </c>
      <c r="J5" s="5">
        <v>0.94791666666666663</v>
      </c>
      <c r="K5" s="6">
        <v>0.9277777777777777</v>
      </c>
      <c r="L5" s="5">
        <v>0.75</v>
      </c>
      <c r="M5" s="6">
        <v>0.75</v>
      </c>
      <c r="N5" s="4" t="s">
        <v>119</v>
      </c>
      <c r="O5" s="4" t="s">
        <v>117</v>
      </c>
      <c r="P5" s="4">
        <v>1169</v>
      </c>
      <c r="Q5" s="4">
        <v>891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3">
        <v>44323</v>
      </c>
      <c r="B6" s="4" t="s">
        <v>108</v>
      </c>
      <c r="C6" s="4" t="s">
        <v>109</v>
      </c>
      <c r="D6" s="4" t="s">
        <v>110</v>
      </c>
      <c r="E6" s="4" t="s">
        <v>111</v>
      </c>
      <c r="F6" s="4" t="s">
        <v>88</v>
      </c>
      <c r="G6" s="4">
        <v>5080</v>
      </c>
      <c r="H6" s="4" t="s">
        <v>111</v>
      </c>
      <c r="I6" s="4" t="s">
        <v>111</v>
      </c>
      <c r="J6" s="5">
        <v>0.375</v>
      </c>
      <c r="K6" s="6">
        <v>0.3756944444444445</v>
      </c>
      <c r="L6" s="13">
        <v>0.54166666666666663</v>
      </c>
      <c r="M6" s="11">
        <v>0.43958333333333338</v>
      </c>
      <c r="N6" s="12">
        <v>0</v>
      </c>
      <c r="O6" s="12">
        <v>1</v>
      </c>
      <c r="P6" s="12">
        <v>0</v>
      </c>
      <c r="Q6" s="12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3">
        <v>44323</v>
      </c>
      <c r="B7" s="4" t="s">
        <v>100</v>
      </c>
      <c r="C7" s="4" t="s">
        <v>112</v>
      </c>
      <c r="D7" s="4" t="s">
        <v>102</v>
      </c>
      <c r="E7" s="4">
        <v>40162</v>
      </c>
      <c r="F7" s="4" t="s">
        <v>99</v>
      </c>
      <c r="G7" s="4">
        <v>6000</v>
      </c>
      <c r="H7" s="4" t="s">
        <v>102</v>
      </c>
      <c r="I7" s="4" t="s">
        <v>102</v>
      </c>
      <c r="J7" s="5">
        <v>0.88194444444444453</v>
      </c>
      <c r="K7" s="6">
        <v>0.8833333333333333</v>
      </c>
      <c r="L7" s="13">
        <v>0.41666666666666669</v>
      </c>
      <c r="M7" s="11">
        <v>0.44236111111111115</v>
      </c>
      <c r="N7" s="12">
        <v>0</v>
      </c>
      <c r="O7" s="12">
        <v>5</v>
      </c>
      <c r="P7" s="12">
        <v>0</v>
      </c>
      <c r="Q7" s="12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J8" s="8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5" sqref="A5:XFD5"/>
    </sheetView>
  </sheetViews>
  <sheetFormatPr defaultRowHeight="15" x14ac:dyDescent="0.25"/>
  <cols>
    <col min="1" max="1" width="10.140625" bestFit="1" customWidth="1"/>
    <col min="2" max="2" width="20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44324</v>
      </c>
      <c r="B2" s="4" t="s">
        <v>21</v>
      </c>
      <c r="C2" s="4" t="s">
        <v>27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28</v>
      </c>
      <c r="I2" s="4" t="s">
        <v>29</v>
      </c>
      <c r="J2" s="5">
        <v>0.4375</v>
      </c>
      <c r="K2" s="6">
        <f>J2</f>
        <v>0.4375</v>
      </c>
      <c r="L2" s="5">
        <v>0.27083333333333331</v>
      </c>
      <c r="M2" s="6">
        <v>0.27986111111111112</v>
      </c>
      <c r="N2" s="4" t="s">
        <v>126</v>
      </c>
      <c r="O2" s="4" t="s">
        <v>124</v>
      </c>
      <c r="P2" s="4">
        <v>1377</v>
      </c>
      <c r="Q2" s="4">
        <v>261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44324</v>
      </c>
      <c r="B3" s="4" t="s">
        <v>21</v>
      </c>
      <c r="C3" s="4" t="s">
        <v>24</v>
      </c>
      <c r="D3" s="4" t="s">
        <v>22</v>
      </c>
      <c r="E3" s="4" t="s">
        <v>120</v>
      </c>
      <c r="F3" s="4" t="s">
        <v>23</v>
      </c>
      <c r="G3" s="4">
        <v>70000</v>
      </c>
      <c r="H3" s="4" t="s">
        <v>25</v>
      </c>
      <c r="I3" s="4" t="s">
        <v>26</v>
      </c>
      <c r="J3" s="5">
        <v>0.64236111111111105</v>
      </c>
      <c r="K3" s="6">
        <v>0.72222222222222221</v>
      </c>
      <c r="L3" s="5">
        <v>0.28819444444444448</v>
      </c>
      <c r="M3" s="6">
        <v>0.36458333333333331</v>
      </c>
      <c r="N3" s="4" t="s">
        <v>127</v>
      </c>
      <c r="O3" s="4" t="s">
        <v>125</v>
      </c>
      <c r="P3" s="4">
        <v>1224</v>
      </c>
      <c r="Q3" s="4">
        <v>799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44324</v>
      </c>
      <c r="B4" s="4" t="s">
        <v>21</v>
      </c>
      <c r="C4" s="4" t="s">
        <v>30</v>
      </c>
      <c r="D4" s="4" t="s">
        <v>22</v>
      </c>
      <c r="E4" s="4" t="str">
        <f>E2</f>
        <v>HA-LYK</v>
      </c>
      <c r="F4" s="4" t="s">
        <v>23</v>
      </c>
      <c r="G4" s="4">
        <v>70000</v>
      </c>
      <c r="H4" s="4" t="s">
        <v>31</v>
      </c>
      <c r="I4" s="4" t="s">
        <v>32</v>
      </c>
      <c r="J4" s="5">
        <v>0.67361111111111116</v>
      </c>
      <c r="K4" s="6">
        <v>0.67013888888888884</v>
      </c>
      <c r="L4" s="5">
        <v>0.46875</v>
      </c>
      <c r="M4" s="6">
        <v>0.47430555555555554</v>
      </c>
      <c r="N4" s="4" t="s">
        <v>128</v>
      </c>
      <c r="O4" s="4" t="s">
        <v>129</v>
      </c>
      <c r="P4" s="4">
        <v>869</v>
      </c>
      <c r="Q4" s="4">
        <v>730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44324</v>
      </c>
      <c r="B5" s="4" t="s">
        <v>21</v>
      </c>
      <c r="C5" s="4" t="s">
        <v>121</v>
      </c>
      <c r="D5" s="4" t="s">
        <v>22</v>
      </c>
      <c r="E5" s="4" t="str">
        <f>E3</f>
        <v>HA-LWO</v>
      </c>
      <c r="F5" s="4" t="s">
        <v>122</v>
      </c>
      <c r="G5" s="4">
        <v>70000</v>
      </c>
      <c r="H5" s="4" t="s">
        <v>123</v>
      </c>
      <c r="I5" s="4" t="s">
        <v>44</v>
      </c>
      <c r="J5" s="5">
        <v>0.33333333333333331</v>
      </c>
      <c r="K5" s="6">
        <v>0.32083333333333336</v>
      </c>
      <c r="L5" s="5" t="s">
        <v>44</v>
      </c>
      <c r="M5" s="6" t="s">
        <v>44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44324</v>
      </c>
      <c r="B6" s="4" t="s">
        <v>97</v>
      </c>
      <c r="C6" s="4" t="s">
        <v>130</v>
      </c>
      <c r="D6" s="4" t="s">
        <v>84</v>
      </c>
      <c r="E6" s="4" t="s">
        <v>131</v>
      </c>
      <c r="F6" s="4" t="s">
        <v>99</v>
      </c>
      <c r="G6" s="4">
        <v>9979</v>
      </c>
      <c r="H6" s="4" t="s">
        <v>44</v>
      </c>
      <c r="I6" s="4" t="s">
        <v>44</v>
      </c>
      <c r="J6" s="6"/>
      <c r="K6" s="6">
        <v>0.74305555555555547</v>
      </c>
      <c r="L6" s="6"/>
      <c r="M6" s="6">
        <v>0.49027777777777781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U5"/>
    </sheetView>
  </sheetViews>
  <sheetFormatPr defaultRowHeight="15" x14ac:dyDescent="0.25"/>
  <cols>
    <col min="1" max="1" width="10.140625" bestFit="1" customWidth="1"/>
    <col min="3" max="3" width="19.140625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44325</v>
      </c>
      <c r="B2" s="4" t="s">
        <v>21</v>
      </c>
      <c r="C2" s="4" t="s">
        <v>132</v>
      </c>
      <c r="D2" s="4" t="s">
        <v>22</v>
      </c>
      <c r="E2" s="4" t="s">
        <v>33</v>
      </c>
      <c r="F2" s="4" t="s">
        <v>122</v>
      </c>
      <c r="G2" s="4">
        <v>70000</v>
      </c>
      <c r="H2" s="4" t="s">
        <v>44</v>
      </c>
      <c r="I2" s="4" t="s">
        <v>123</v>
      </c>
      <c r="J2" s="5" t="s">
        <v>44</v>
      </c>
      <c r="K2" s="6" t="s">
        <v>44</v>
      </c>
      <c r="L2" s="5">
        <v>0.375</v>
      </c>
      <c r="M2" s="6">
        <v>0.37152777777777773</v>
      </c>
      <c r="N2" s="4" t="s">
        <v>44</v>
      </c>
      <c r="O2" s="4">
        <v>0</v>
      </c>
      <c r="P2" s="4" t="s">
        <v>44</v>
      </c>
      <c r="Q2" s="4">
        <v>0</v>
      </c>
      <c r="R2" s="4" t="s">
        <v>44</v>
      </c>
      <c r="S2" s="4">
        <v>0</v>
      </c>
      <c r="T2" s="4" t="s">
        <v>44</v>
      </c>
      <c r="U2" s="4">
        <v>0</v>
      </c>
    </row>
    <row r="3" spans="1:21" x14ac:dyDescent="0.25">
      <c r="A3" s="3">
        <v>44325</v>
      </c>
      <c r="B3" s="4" t="s">
        <v>21</v>
      </c>
      <c r="C3" s="4" t="s">
        <v>49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52</v>
      </c>
      <c r="I3" s="4" t="s">
        <v>53</v>
      </c>
      <c r="J3" s="5">
        <v>0.69444444444444453</v>
      </c>
      <c r="K3" s="6">
        <v>0.70000000000000007</v>
      </c>
      <c r="L3" s="5">
        <v>0.51736111111111105</v>
      </c>
      <c r="M3" s="6">
        <v>0.53125</v>
      </c>
      <c r="N3" s="4" t="s">
        <v>134</v>
      </c>
      <c r="O3" s="4" t="s">
        <v>133</v>
      </c>
      <c r="P3" s="4">
        <v>1328</v>
      </c>
      <c r="Q3" s="4">
        <v>1296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v>44325</v>
      </c>
      <c r="B4" s="4" t="s">
        <v>21</v>
      </c>
      <c r="C4" s="4" t="s">
        <v>48</v>
      </c>
      <c r="D4" s="4" t="s">
        <v>22</v>
      </c>
      <c r="E4" s="4" t="s">
        <v>120</v>
      </c>
      <c r="F4" s="4" t="s">
        <v>23</v>
      </c>
      <c r="G4" s="4">
        <v>70000</v>
      </c>
      <c r="H4" s="4" t="s">
        <v>51</v>
      </c>
      <c r="I4" s="4" t="s">
        <v>54</v>
      </c>
      <c r="J4" s="5">
        <v>0.91319444444444453</v>
      </c>
      <c r="K4" s="6">
        <v>0.92013888888888884</v>
      </c>
      <c r="L4" s="5">
        <v>0.67708333333333337</v>
      </c>
      <c r="M4" s="6">
        <v>0.6777777777777777</v>
      </c>
      <c r="N4" s="4" t="s">
        <v>137</v>
      </c>
      <c r="O4" s="4" t="s">
        <v>135</v>
      </c>
      <c r="P4" s="4">
        <v>1188</v>
      </c>
      <c r="Q4" s="4">
        <v>934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44325</v>
      </c>
      <c r="B5" s="4" t="s">
        <v>21</v>
      </c>
      <c r="C5" s="4" t="s">
        <v>56</v>
      </c>
      <c r="D5" s="4" t="s">
        <v>22</v>
      </c>
      <c r="E5" s="4" t="str">
        <f>E3</f>
        <v>HA-LYK</v>
      </c>
      <c r="F5" s="4" t="s">
        <v>23</v>
      </c>
      <c r="G5" s="4">
        <v>70000</v>
      </c>
      <c r="H5" s="4" t="s">
        <v>58</v>
      </c>
      <c r="I5" s="4" t="s">
        <v>59</v>
      </c>
      <c r="J5" s="5">
        <v>0.90625</v>
      </c>
      <c r="K5" s="6">
        <v>0.9159722222222223</v>
      </c>
      <c r="L5" s="5">
        <v>0.71527777777777779</v>
      </c>
      <c r="M5" s="6">
        <v>0.73263888888888884</v>
      </c>
      <c r="N5" s="4" t="s">
        <v>138</v>
      </c>
      <c r="O5" s="4" t="s">
        <v>136</v>
      </c>
      <c r="P5" s="4">
        <v>1716</v>
      </c>
      <c r="Q5" s="4">
        <v>1121</v>
      </c>
      <c r="R5" s="4">
        <v>0</v>
      </c>
      <c r="S5" s="4">
        <v>0</v>
      </c>
      <c r="T5" s="4">
        <v>0</v>
      </c>
      <c r="U5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M5" sqref="M5"/>
    </sheetView>
  </sheetViews>
  <sheetFormatPr defaultRowHeight="15" x14ac:dyDescent="0.25"/>
  <cols>
    <col min="3" max="3" width="13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44326</v>
      </c>
      <c r="B2" s="4" t="s">
        <v>21</v>
      </c>
      <c r="C2" s="4" t="s">
        <v>65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69</v>
      </c>
      <c r="I2" s="4" t="s">
        <v>73</v>
      </c>
      <c r="J2" s="5">
        <v>0.45833333333333331</v>
      </c>
      <c r="K2" s="6">
        <v>0.44861111111111113</v>
      </c>
      <c r="L2" s="5">
        <v>0.25694444444444448</v>
      </c>
      <c r="M2" s="6">
        <v>0.25694444444444448</v>
      </c>
      <c r="N2" s="4" t="s">
        <v>143</v>
      </c>
      <c r="O2" s="4" t="s">
        <v>140</v>
      </c>
      <c r="P2" s="4">
        <v>741</v>
      </c>
      <c r="Q2" s="4">
        <v>1032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44326</v>
      </c>
      <c r="B3" s="4" t="s">
        <v>21</v>
      </c>
      <c r="C3" s="4" t="s">
        <v>66</v>
      </c>
      <c r="D3" s="4" t="s">
        <v>22</v>
      </c>
      <c r="E3" s="4" t="s">
        <v>120</v>
      </c>
      <c r="F3" s="4" t="s">
        <v>23</v>
      </c>
      <c r="G3" s="4">
        <v>70000</v>
      </c>
      <c r="H3" s="4" t="s">
        <v>70</v>
      </c>
      <c r="I3" s="4" t="s">
        <v>74</v>
      </c>
      <c r="J3" s="5">
        <v>0.90277777777777779</v>
      </c>
      <c r="K3" s="6">
        <v>0.90763888888888899</v>
      </c>
      <c r="L3" s="5">
        <v>0.46875</v>
      </c>
      <c r="M3" s="6">
        <v>0.47916666666666669</v>
      </c>
      <c r="N3" s="4" t="s">
        <v>146</v>
      </c>
      <c r="O3" s="4" t="s">
        <v>144</v>
      </c>
      <c r="P3" s="4">
        <v>1387</v>
      </c>
      <c r="Q3" s="4">
        <v>387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44326</v>
      </c>
      <c r="B4" s="4" t="s">
        <v>21</v>
      </c>
      <c r="C4" s="4" t="s">
        <v>139</v>
      </c>
      <c r="D4" s="4" t="s">
        <v>22</v>
      </c>
      <c r="E4" s="4" t="s">
        <v>34</v>
      </c>
      <c r="F4" s="4" t="s">
        <v>23</v>
      </c>
      <c r="G4" s="4">
        <v>70000</v>
      </c>
      <c r="H4" s="4" t="s">
        <v>141</v>
      </c>
      <c r="I4" s="4" t="s">
        <v>75</v>
      </c>
      <c r="J4" s="5">
        <v>0.71875</v>
      </c>
      <c r="K4" s="6">
        <v>0.71180555555555547</v>
      </c>
      <c r="L4" s="5">
        <v>0.48958333333333331</v>
      </c>
      <c r="M4" s="6">
        <v>0.48888888888888887</v>
      </c>
      <c r="N4" s="4" t="s">
        <v>147</v>
      </c>
      <c r="O4" s="4" t="s">
        <v>145</v>
      </c>
      <c r="P4" s="4">
        <v>1009</v>
      </c>
      <c r="Q4" s="4">
        <v>867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44326</v>
      </c>
      <c r="B5" s="4" t="s">
        <v>21</v>
      </c>
      <c r="C5" s="4" t="s">
        <v>68</v>
      </c>
      <c r="D5" s="4" t="s">
        <v>22</v>
      </c>
      <c r="E5" s="4" t="s">
        <v>34</v>
      </c>
      <c r="F5" s="4" t="s">
        <v>23</v>
      </c>
      <c r="G5" s="4">
        <v>70000</v>
      </c>
      <c r="H5" s="4" t="s">
        <v>72</v>
      </c>
      <c r="I5" s="4" t="s">
        <v>142</v>
      </c>
      <c r="J5" s="5">
        <v>0.92013888888888884</v>
      </c>
      <c r="K5" s="6">
        <v>0.92291666666666661</v>
      </c>
      <c r="L5" s="5">
        <v>0.73958333333333337</v>
      </c>
      <c r="M5" s="6">
        <v>0.74722222222222223</v>
      </c>
      <c r="N5" s="4" t="s">
        <v>149</v>
      </c>
      <c r="O5" s="4" t="s">
        <v>148</v>
      </c>
      <c r="P5" s="4">
        <v>870</v>
      </c>
      <c r="Q5" s="4">
        <v>501</v>
      </c>
      <c r="R5" s="4">
        <v>0</v>
      </c>
      <c r="S5" s="4">
        <v>0</v>
      </c>
      <c r="T5" s="4">
        <v>0</v>
      </c>
      <c r="U5" s="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U4"/>
    </sheetView>
  </sheetViews>
  <sheetFormatPr defaultRowHeight="15" x14ac:dyDescent="0.25"/>
  <cols>
    <col min="1" max="1" width="10.140625" bestFit="1" customWidth="1"/>
    <col min="2" max="2" width="27.85546875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14">
        <v>44327</v>
      </c>
      <c r="B2" s="15" t="s">
        <v>21</v>
      </c>
      <c r="C2" s="15" t="s">
        <v>27</v>
      </c>
      <c r="D2" s="15" t="s">
        <v>22</v>
      </c>
      <c r="E2" s="15" t="s">
        <v>120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0.4375</v>
      </c>
      <c r="K2" s="17">
        <v>0.43263888888888885</v>
      </c>
      <c r="L2" s="16">
        <v>0.27083333333333331</v>
      </c>
      <c r="M2" s="17">
        <v>0.27638888888888885</v>
      </c>
      <c r="N2" s="18" t="s">
        <v>151</v>
      </c>
      <c r="O2" s="18" t="s">
        <v>150</v>
      </c>
      <c r="P2" s="18">
        <v>898</v>
      </c>
      <c r="Q2" s="18">
        <v>385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44327</v>
      </c>
      <c r="B3" s="15" t="s">
        <v>21</v>
      </c>
      <c r="C3" s="15" t="s">
        <v>30</v>
      </c>
      <c r="D3" s="15" t="s">
        <v>22</v>
      </c>
      <c r="E3" s="15" t="s">
        <v>120</v>
      </c>
      <c r="F3" s="15" t="s">
        <v>23</v>
      </c>
      <c r="G3" s="15">
        <v>70000</v>
      </c>
      <c r="H3" s="15" t="s">
        <v>31</v>
      </c>
      <c r="I3" s="15" t="s">
        <v>32</v>
      </c>
      <c r="J3" s="16">
        <v>0.67361111111111116</v>
      </c>
      <c r="K3" s="17">
        <v>0.66736111111111107</v>
      </c>
      <c r="L3" s="16">
        <v>0.46875</v>
      </c>
      <c r="M3" s="17">
        <v>0.47083333333333338</v>
      </c>
      <c r="N3" s="18" t="s">
        <v>154</v>
      </c>
      <c r="O3" s="18" t="s">
        <v>152</v>
      </c>
      <c r="P3" s="18">
        <v>910</v>
      </c>
      <c r="Q3" s="18">
        <v>664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44327</v>
      </c>
      <c r="B4" s="15" t="s">
        <v>21</v>
      </c>
      <c r="C4" s="15" t="s">
        <v>24</v>
      </c>
      <c r="D4" s="15" t="s">
        <v>22</v>
      </c>
      <c r="E4" s="15" t="s">
        <v>34</v>
      </c>
      <c r="F4" s="15" t="s">
        <v>23</v>
      </c>
      <c r="G4" s="15">
        <v>70000</v>
      </c>
      <c r="H4" s="15" t="s">
        <v>25</v>
      </c>
      <c r="I4" s="15" t="s">
        <v>26</v>
      </c>
      <c r="J4" s="16">
        <v>0.95486111111111116</v>
      </c>
      <c r="K4" s="17">
        <v>0.95000000000000007</v>
      </c>
      <c r="L4" s="16">
        <v>0.60069444444444442</v>
      </c>
      <c r="M4" s="17">
        <v>0.60138888888888886</v>
      </c>
      <c r="N4" s="18" t="s">
        <v>157</v>
      </c>
      <c r="O4" s="18" t="s">
        <v>153</v>
      </c>
      <c r="P4" s="18">
        <v>1194</v>
      </c>
      <c r="Q4" s="18">
        <v>722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44327</v>
      </c>
      <c r="B5" s="4" t="s">
        <v>82</v>
      </c>
      <c r="C5" s="4" t="s">
        <v>156</v>
      </c>
      <c r="D5" s="4" t="s">
        <v>84</v>
      </c>
      <c r="E5" s="4">
        <v>20613</v>
      </c>
      <c r="F5" s="4" t="s">
        <v>99</v>
      </c>
      <c r="G5" s="4">
        <v>9979</v>
      </c>
      <c r="H5" s="4" t="s">
        <v>44</v>
      </c>
      <c r="I5" s="4" t="s">
        <v>44</v>
      </c>
      <c r="J5" s="5">
        <v>0.62152777777777779</v>
      </c>
      <c r="K5" s="6">
        <v>0.6479166666666667</v>
      </c>
      <c r="L5" s="5" t="s">
        <v>103</v>
      </c>
      <c r="M5" s="6" t="s">
        <v>103</v>
      </c>
      <c r="N5" s="19">
        <v>13</v>
      </c>
      <c r="O5" s="19">
        <v>0</v>
      </c>
      <c r="P5" s="18">
        <v>0</v>
      </c>
      <c r="Q5" s="18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44327</v>
      </c>
      <c r="B6" s="4" t="s">
        <v>82</v>
      </c>
      <c r="C6" s="4" t="s">
        <v>156</v>
      </c>
      <c r="D6" s="4" t="s">
        <v>85</v>
      </c>
      <c r="E6" s="4">
        <v>20352</v>
      </c>
      <c r="F6" s="4" t="s">
        <v>99</v>
      </c>
      <c r="G6" s="4">
        <v>9979</v>
      </c>
      <c r="H6" s="4" t="s">
        <v>44</v>
      </c>
      <c r="I6" s="4" t="s">
        <v>44</v>
      </c>
      <c r="J6" s="5">
        <v>0.62152777777777779</v>
      </c>
      <c r="K6" s="6">
        <v>0.6479166666666667</v>
      </c>
      <c r="L6" s="5" t="s">
        <v>103</v>
      </c>
      <c r="M6" s="6" t="s">
        <v>103</v>
      </c>
      <c r="N6" s="19">
        <v>13</v>
      </c>
      <c r="O6" s="19">
        <v>0</v>
      </c>
      <c r="P6" s="18">
        <v>0</v>
      </c>
      <c r="Q6" s="18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O7" s="18" t="s">
        <v>44</v>
      </c>
    </row>
    <row r="10" spans="1:21" x14ac:dyDescent="0.25">
      <c r="E10" s="9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D1" workbookViewId="0">
      <selection activeCell="K3" sqref="K3"/>
    </sheetView>
  </sheetViews>
  <sheetFormatPr defaultRowHeight="15" x14ac:dyDescent="0.25"/>
  <cols>
    <col min="1" max="1" width="10.140625" style="20" bestFit="1" customWidth="1"/>
    <col min="2" max="2" width="9.140625" style="20" bestFit="1" customWidth="1"/>
    <col min="3" max="3" width="14.42578125" style="20" bestFit="1" customWidth="1"/>
    <col min="4" max="4" width="5.7109375" style="20" bestFit="1" customWidth="1"/>
    <col min="5" max="5" width="9.140625" style="20"/>
    <col min="6" max="6" width="12.140625" style="20" bestFit="1" customWidth="1"/>
    <col min="7" max="16384" width="9.140625" style="20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44328</v>
      </c>
      <c r="B2" s="4" t="s">
        <v>21</v>
      </c>
      <c r="C2" s="4" t="s">
        <v>66</v>
      </c>
      <c r="D2" s="4" t="s">
        <v>22</v>
      </c>
      <c r="E2" s="4" t="s">
        <v>120</v>
      </c>
      <c r="F2" s="4" t="s">
        <v>23</v>
      </c>
      <c r="G2" s="4">
        <v>70000</v>
      </c>
      <c r="H2" s="4" t="s">
        <v>70</v>
      </c>
      <c r="I2" s="4" t="s">
        <v>74</v>
      </c>
      <c r="J2" s="5">
        <v>0.65972222222222221</v>
      </c>
      <c r="K2" s="6">
        <v>0.67569444444444438</v>
      </c>
      <c r="L2" s="5">
        <v>0.47569444444444442</v>
      </c>
      <c r="M2" s="6">
        <v>0.49236111111111108</v>
      </c>
      <c r="N2" s="4" t="s">
        <v>160</v>
      </c>
      <c r="O2" s="4" t="s">
        <v>158</v>
      </c>
      <c r="P2" s="4">
        <v>956</v>
      </c>
      <c r="Q2" s="4">
        <v>790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44328</v>
      </c>
      <c r="B3" s="4" t="s">
        <v>21</v>
      </c>
      <c r="C3" s="4" t="s">
        <v>48</v>
      </c>
      <c r="D3" s="4" t="s">
        <v>22</v>
      </c>
      <c r="E3" s="4" t="s">
        <v>120</v>
      </c>
      <c r="F3" s="4" t="s">
        <v>23</v>
      </c>
      <c r="G3" s="4">
        <v>70000</v>
      </c>
      <c r="H3" s="4" t="s">
        <v>51</v>
      </c>
      <c r="I3" s="4" t="s">
        <v>54</v>
      </c>
      <c r="J3" s="5">
        <v>0.91319444444444453</v>
      </c>
      <c r="K3" s="6">
        <v>0.92708333333333337</v>
      </c>
      <c r="L3" s="5">
        <v>0.68055555555555547</v>
      </c>
      <c r="M3" s="6">
        <v>0.71319444444444446</v>
      </c>
      <c r="N3" s="4" t="s">
        <v>163</v>
      </c>
      <c r="O3" s="4" t="s">
        <v>159</v>
      </c>
      <c r="P3" s="4">
        <v>630</v>
      </c>
      <c r="Q3" s="4">
        <v>599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f>A3</f>
        <v>44328</v>
      </c>
      <c r="B4" s="4" t="s">
        <v>100</v>
      </c>
      <c r="C4" s="4" t="s">
        <v>161</v>
      </c>
      <c r="D4" s="4" t="s">
        <v>106</v>
      </c>
      <c r="E4" s="4">
        <v>40165</v>
      </c>
      <c r="F4" s="4" t="s">
        <v>99</v>
      </c>
      <c r="G4" s="4">
        <v>6000</v>
      </c>
      <c r="H4" s="4" t="s">
        <v>162</v>
      </c>
      <c r="I4" s="4" t="str">
        <f>H4</f>
        <v>DUKE11</v>
      </c>
      <c r="J4" s="5">
        <v>0.70833333333333337</v>
      </c>
      <c r="K4" s="6">
        <v>0.69861111111111107</v>
      </c>
      <c r="L4" s="5">
        <v>0.75</v>
      </c>
      <c r="M4" s="6">
        <v>0.75069444444444444</v>
      </c>
      <c r="N4" s="4">
        <v>0</v>
      </c>
      <c r="O4" s="4">
        <v>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N8" sqref="N8:O8"/>
    </sheetView>
  </sheetViews>
  <sheetFormatPr defaultRowHeight="15" x14ac:dyDescent="0.25"/>
  <cols>
    <col min="1" max="1" width="9.85546875" style="21" bestFit="1" customWidth="1"/>
    <col min="2" max="2" width="18.28515625" style="21" bestFit="1" customWidth="1"/>
    <col min="3" max="3" width="13.7109375" style="21" customWidth="1"/>
    <col min="4" max="5" width="9.140625" style="21"/>
    <col min="6" max="6" width="14.5703125" style="21" customWidth="1"/>
    <col min="7" max="13" width="9.140625" style="21"/>
    <col min="14" max="15" width="18.42578125" style="21" bestFit="1" customWidth="1"/>
    <col min="16" max="16384" width="9.140625" style="2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44329</v>
      </c>
      <c r="B2" s="4" t="s">
        <v>21</v>
      </c>
      <c r="C2" s="4" t="s">
        <v>24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25</v>
      </c>
      <c r="I2" s="4" t="s">
        <v>26</v>
      </c>
      <c r="J2" s="5">
        <v>0.94097222222222221</v>
      </c>
      <c r="K2" s="6">
        <v>0.93125000000000002</v>
      </c>
      <c r="L2" s="5">
        <v>0.79513888888888884</v>
      </c>
      <c r="M2" s="6">
        <v>0.79999999999999993</v>
      </c>
      <c r="N2" s="4" t="s">
        <v>174</v>
      </c>
      <c r="O2" s="4" t="s">
        <v>173</v>
      </c>
      <c r="P2" s="4">
        <v>993</v>
      </c>
      <c r="Q2" s="4">
        <v>484</v>
      </c>
      <c r="R2" s="4">
        <v>0</v>
      </c>
      <c r="S2" s="4">
        <v>0</v>
      </c>
      <c r="T2" s="4">
        <v>0</v>
      </c>
      <c r="U2" s="4">
        <v>0</v>
      </c>
    </row>
    <row r="3" spans="1:21" s="20" customFormat="1" x14ac:dyDescent="0.25">
      <c r="A3" s="3">
        <v>44329</v>
      </c>
      <c r="B3" s="4" t="s">
        <v>97</v>
      </c>
      <c r="C3" s="4" t="s">
        <v>164</v>
      </c>
      <c r="D3" s="4" t="s">
        <v>165</v>
      </c>
      <c r="E3" s="4">
        <v>20613</v>
      </c>
      <c r="F3" s="4" t="s">
        <v>168</v>
      </c>
      <c r="G3" s="4">
        <v>9979</v>
      </c>
      <c r="H3" s="4" t="s">
        <v>44</v>
      </c>
      <c r="I3" s="4" t="s">
        <v>166</v>
      </c>
      <c r="J3" s="5" t="s">
        <v>103</v>
      </c>
      <c r="K3" s="6" t="s">
        <v>44</v>
      </c>
      <c r="L3" s="5">
        <v>0.41666666666666669</v>
      </c>
      <c r="M3" s="6">
        <v>0.41736111111111113</v>
      </c>
      <c r="N3" s="4" t="s">
        <v>44</v>
      </c>
      <c r="O3" s="4">
        <v>1</v>
      </c>
      <c r="P3" s="4" t="s">
        <v>44</v>
      </c>
      <c r="Q3" s="4">
        <v>0</v>
      </c>
      <c r="R3" s="4" t="s">
        <v>44</v>
      </c>
      <c r="S3" s="4">
        <v>0</v>
      </c>
      <c r="T3" s="4">
        <v>0</v>
      </c>
      <c r="U3" s="4">
        <v>0</v>
      </c>
    </row>
    <row r="4" spans="1:21" s="20" customFormat="1" x14ac:dyDescent="0.25">
      <c r="A4" s="3">
        <v>44329</v>
      </c>
      <c r="B4" s="4" t="s">
        <v>97</v>
      </c>
      <c r="C4" s="4" t="str">
        <f>C3</f>
        <v>TZL-ZAD</v>
      </c>
      <c r="D4" s="4" t="s">
        <v>165</v>
      </c>
      <c r="E4" s="4">
        <v>20352</v>
      </c>
      <c r="F4" s="4" t="str">
        <f>F3</f>
        <v>MILITARY/HEL</v>
      </c>
      <c r="G4" s="4">
        <v>9979</v>
      </c>
      <c r="H4" s="4" t="s">
        <v>44</v>
      </c>
      <c r="I4" s="4" t="s">
        <v>167</v>
      </c>
      <c r="J4" s="5" t="s">
        <v>103</v>
      </c>
      <c r="K4" s="6" t="s">
        <v>44</v>
      </c>
      <c r="L4" s="5">
        <v>0.41666666666666669</v>
      </c>
      <c r="M4" s="6">
        <v>0.41736111111111113</v>
      </c>
      <c r="N4" s="4" t="s">
        <v>44</v>
      </c>
      <c r="O4" s="4">
        <v>2</v>
      </c>
      <c r="P4" s="4" t="s">
        <v>44</v>
      </c>
      <c r="Q4" s="4">
        <v>0</v>
      </c>
      <c r="R4" s="4" t="s">
        <v>44</v>
      </c>
      <c r="S4" s="4">
        <v>0</v>
      </c>
      <c r="T4" s="4">
        <v>0</v>
      </c>
      <c r="U4" s="4">
        <v>0</v>
      </c>
    </row>
    <row r="5" spans="1:21" x14ac:dyDescent="0.25">
      <c r="A5" s="3">
        <v>44329</v>
      </c>
      <c r="B5" s="4" t="s">
        <v>97</v>
      </c>
      <c r="C5" s="4" t="s">
        <v>169</v>
      </c>
      <c r="D5" s="4" t="s">
        <v>165</v>
      </c>
      <c r="E5" s="4">
        <v>26260</v>
      </c>
      <c r="F5" s="4" t="str">
        <f>F4</f>
        <v>MILITARY/HEL</v>
      </c>
      <c r="G5" s="4">
        <v>9979</v>
      </c>
      <c r="H5" s="4" t="s">
        <v>44</v>
      </c>
      <c r="I5" s="4" t="s">
        <v>131</v>
      </c>
      <c r="J5" s="5" t="s">
        <v>103</v>
      </c>
      <c r="K5" s="6" t="s">
        <v>44</v>
      </c>
      <c r="L5" s="5">
        <v>0.45833333333333331</v>
      </c>
      <c r="M5" s="6">
        <v>0.46388888888888885</v>
      </c>
      <c r="N5" s="4" t="s">
        <v>44</v>
      </c>
      <c r="O5" s="4">
        <v>0</v>
      </c>
      <c r="P5" s="4" t="s">
        <v>44</v>
      </c>
      <c r="Q5" s="4">
        <v>0</v>
      </c>
      <c r="R5" s="4" t="s">
        <v>44</v>
      </c>
      <c r="S5" s="4">
        <v>0</v>
      </c>
      <c r="T5" s="4">
        <v>0</v>
      </c>
      <c r="U5" s="4">
        <v>0</v>
      </c>
    </row>
    <row r="6" spans="1:21" s="4" customFormat="1" ht="12.75" x14ac:dyDescent="0.2">
      <c r="A6" s="3">
        <f>A5</f>
        <v>44329</v>
      </c>
      <c r="B6" s="4" t="str">
        <f>B5</f>
        <v>COMBAT AVIAITON</v>
      </c>
      <c r="C6" s="4" t="s">
        <v>156</v>
      </c>
      <c r="D6" s="4" t="str">
        <f>D5</f>
        <v>UH60</v>
      </c>
      <c r="E6" s="4">
        <v>20165</v>
      </c>
      <c r="F6" s="4" t="str">
        <f>F5</f>
        <v>MILITARY/HEL</v>
      </c>
      <c r="G6" s="4">
        <f>G5</f>
        <v>9979</v>
      </c>
      <c r="H6" s="4" t="s">
        <v>170</v>
      </c>
      <c r="I6" s="4" t="s">
        <v>44</v>
      </c>
      <c r="J6" s="5">
        <v>0.4375</v>
      </c>
      <c r="K6" s="6">
        <v>0.46875</v>
      </c>
      <c r="L6" s="8" t="s">
        <v>44</v>
      </c>
      <c r="M6" s="4" t="s">
        <v>44</v>
      </c>
      <c r="N6" s="4">
        <v>3</v>
      </c>
      <c r="O6" s="4" t="s">
        <v>44</v>
      </c>
      <c r="P6" s="4">
        <v>0</v>
      </c>
      <c r="Q6" s="4" t="s">
        <v>44</v>
      </c>
      <c r="R6" s="4">
        <v>0</v>
      </c>
      <c r="S6" s="4" t="s">
        <v>44</v>
      </c>
      <c r="T6" s="4">
        <v>0</v>
      </c>
      <c r="U6" s="4" t="s">
        <v>44</v>
      </c>
    </row>
    <row r="7" spans="1:21" s="4" customFormat="1" ht="12.75" x14ac:dyDescent="0.2">
      <c r="A7" s="3">
        <v>44329</v>
      </c>
      <c r="B7" s="4" t="s">
        <v>97</v>
      </c>
      <c r="C7" s="4" t="s">
        <v>156</v>
      </c>
      <c r="D7" s="4" t="s">
        <v>165</v>
      </c>
      <c r="E7" s="4">
        <v>26260</v>
      </c>
      <c r="F7" s="4" t="s">
        <v>168</v>
      </c>
      <c r="G7" s="4">
        <v>9979</v>
      </c>
      <c r="H7" s="4" t="s">
        <v>131</v>
      </c>
      <c r="J7" s="5">
        <v>0.625</v>
      </c>
      <c r="K7" s="6">
        <v>0.63194444444444442</v>
      </c>
      <c r="L7" s="8" t="s">
        <v>103</v>
      </c>
      <c r="M7" s="4" t="s">
        <v>103</v>
      </c>
      <c r="N7" s="4">
        <v>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s="4" customFormat="1" ht="12.75" x14ac:dyDescent="0.2">
      <c r="A8" s="3">
        <v>44329</v>
      </c>
      <c r="B8" s="4" t="s">
        <v>97</v>
      </c>
      <c r="C8" s="4" t="s">
        <v>171</v>
      </c>
      <c r="D8" s="4" t="s">
        <v>165</v>
      </c>
      <c r="E8" s="4">
        <v>20165</v>
      </c>
      <c r="F8" s="4" t="s">
        <v>168</v>
      </c>
      <c r="G8" s="4">
        <v>9979</v>
      </c>
      <c r="H8" s="4" t="s">
        <v>170</v>
      </c>
      <c r="I8" s="4" t="s">
        <v>172</v>
      </c>
      <c r="J8" s="5">
        <v>0.75</v>
      </c>
      <c r="K8" s="6">
        <v>0.73055555555555562</v>
      </c>
      <c r="L8" s="5">
        <v>0.625</v>
      </c>
      <c r="M8" s="6">
        <v>0.63888888888888895</v>
      </c>
      <c r="N8" s="4" t="s">
        <v>44</v>
      </c>
      <c r="O8" s="4" t="s">
        <v>44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4"/>
    </sheetView>
  </sheetViews>
  <sheetFormatPr defaultRowHeight="15" x14ac:dyDescent="0.25"/>
  <cols>
    <col min="1" max="1" width="10.140625" bestFit="1" customWidth="1"/>
    <col min="2" max="2" width="14.7109375" customWidth="1"/>
    <col min="3" max="3" width="14" bestFit="1" customWidth="1"/>
    <col min="5" max="5" width="13.42578125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44330</v>
      </c>
      <c r="B2" s="15" t="s">
        <v>21</v>
      </c>
      <c r="C2" s="15" t="s">
        <v>65</v>
      </c>
      <c r="D2" s="15" t="s">
        <v>22</v>
      </c>
      <c r="E2" s="15" t="s">
        <v>120</v>
      </c>
      <c r="F2" s="15" t="s">
        <v>23</v>
      </c>
      <c r="G2" s="15">
        <v>70000</v>
      </c>
      <c r="H2" s="15" t="s">
        <v>69</v>
      </c>
      <c r="I2" s="15" t="s">
        <v>73</v>
      </c>
      <c r="J2" s="16">
        <v>0.45833333333333331</v>
      </c>
      <c r="K2" s="17">
        <v>0.44444444444444442</v>
      </c>
      <c r="L2" s="16">
        <v>0.25694444444444448</v>
      </c>
      <c r="M2" s="17">
        <v>0.25416666666666665</v>
      </c>
      <c r="N2" s="15" t="s">
        <v>176</v>
      </c>
      <c r="O2" s="15" t="s">
        <v>175</v>
      </c>
      <c r="P2" s="15">
        <v>644</v>
      </c>
      <c r="Q2" s="15">
        <v>629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44330</v>
      </c>
      <c r="B3" s="15" t="s">
        <v>21</v>
      </c>
      <c r="C3" s="15" t="s">
        <v>67</v>
      </c>
      <c r="D3" s="15" t="s">
        <v>22</v>
      </c>
      <c r="E3" s="15" t="s">
        <v>34</v>
      </c>
      <c r="F3" s="15" t="s">
        <v>23</v>
      </c>
      <c r="G3" s="15">
        <v>70000</v>
      </c>
      <c r="H3" s="15" t="s">
        <v>141</v>
      </c>
      <c r="I3" s="15" t="s">
        <v>75</v>
      </c>
      <c r="J3" s="16">
        <v>0.72569444444444453</v>
      </c>
      <c r="K3" s="17">
        <v>0.72569444444444453</v>
      </c>
      <c r="L3" s="16">
        <v>0.49652777777777773</v>
      </c>
      <c r="M3" s="17">
        <v>0.50763888888888886</v>
      </c>
      <c r="N3" s="15" t="s">
        <v>185</v>
      </c>
      <c r="O3" s="15" t="s">
        <v>177</v>
      </c>
      <c r="P3" s="15">
        <v>910</v>
      </c>
      <c r="Q3" s="15">
        <v>860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44330</v>
      </c>
      <c r="B4" s="15" t="s">
        <v>21</v>
      </c>
      <c r="C4" s="15" t="s">
        <v>66</v>
      </c>
      <c r="D4" s="15" t="s">
        <v>22</v>
      </c>
      <c r="E4" s="15" t="s">
        <v>184</v>
      </c>
      <c r="F4" s="15" t="s">
        <v>23</v>
      </c>
      <c r="G4" s="15">
        <v>70000</v>
      </c>
      <c r="H4" s="15" t="s">
        <v>70</v>
      </c>
      <c r="I4" s="15" t="s">
        <v>74</v>
      </c>
      <c r="J4" s="16">
        <v>0.94444444444444453</v>
      </c>
      <c r="K4" s="17">
        <v>0.98888888888888893</v>
      </c>
      <c r="L4" s="16">
        <v>0.51041666666666663</v>
      </c>
      <c r="M4" s="17">
        <v>0.52916666666666667</v>
      </c>
      <c r="N4" s="15" t="s">
        <v>187</v>
      </c>
      <c r="O4" s="15" t="s">
        <v>178</v>
      </c>
      <c r="P4" s="15">
        <v>1029</v>
      </c>
      <c r="Q4" s="15">
        <v>746</v>
      </c>
      <c r="R4" s="4">
        <v>0</v>
      </c>
      <c r="S4" s="4">
        <v>0</v>
      </c>
      <c r="T4" s="4">
        <v>0</v>
      </c>
      <c r="U4" s="4">
        <v>0</v>
      </c>
    </row>
    <row r="5" spans="1:21" s="9" customFormat="1" x14ac:dyDescent="0.25">
      <c r="A5" s="3">
        <v>44330</v>
      </c>
      <c r="B5" s="15" t="s">
        <v>21</v>
      </c>
      <c r="C5" s="15" t="s">
        <v>68</v>
      </c>
      <c r="D5" s="15" t="s">
        <v>22</v>
      </c>
      <c r="E5" s="4" t="s">
        <v>34</v>
      </c>
      <c r="F5" s="4" t="s">
        <v>23</v>
      </c>
      <c r="G5" s="4">
        <v>70000</v>
      </c>
      <c r="H5" s="15" t="s">
        <v>72</v>
      </c>
      <c r="I5" s="15" t="s">
        <v>142</v>
      </c>
      <c r="J5" s="6">
        <v>0.94791666666666663</v>
      </c>
      <c r="K5" s="6">
        <v>0.95833333333333337</v>
      </c>
      <c r="L5" s="6">
        <v>0.75694444444444453</v>
      </c>
      <c r="M5" s="6">
        <v>0.77638888888888891</v>
      </c>
      <c r="N5" s="4" t="s">
        <v>188</v>
      </c>
      <c r="O5" s="4" t="s">
        <v>186</v>
      </c>
      <c r="P5" s="4">
        <v>916</v>
      </c>
      <c r="Q5" s="4">
        <v>961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44330</v>
      </c>
      <c r="B6" s="15" t="s">
        <v>179</v>
      </c>
      <c r="C6" s="15" t="s">
        <v>180</v>
      </c>
      <c r="D6" s="4" t="s">
        <v>181</v>
      </c>
      <c r="E6" s="15" t="s">
        <v>183</v>
      </c>
      <c r="F6" s="15" t="s">
        <v>182</v>
      </c>
      <c r="G6" s="15">
        <v>3175</v>
      </c>
      <c r="H6" s="4"/>
      <c r="I6" s="4"/>
      <c r="J6" s="17">
        <v>0.40277777777777773</v>
      </c>
      <c r="K6" s="6">
        <v>0.4513888888888889</v>
      </c>
      <c r="L6" s="6">
        <v>0.4236111111111111</v>
      </c>
      <c r="M6" s="6">
        <v>0.46875</v>
      </c>
      <c r="N6" s="6" t="s">
        <v>189</v>
      </c>
      <c r="O6" s="6" t="s">
        <v>189</v>
      </c>
      <c r="P6" s="15">
        <v>0</v>
      </c>
      <c r="Q6" s="15">
        <v>0</v>
      </c>
      <c r="R6" s="4">
        <v>0</v>
      </c>
      <c r="S6" s="4">
        <v>0</v>
      </c>
      <c r="T6" s="4">
        <v>0</v>
      </c>
      <c r="U6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U4"/>
    </sheetView>
  </sheetViews>
  <sheetFormatPr defaultRowHeight="15" x14ac:dyDescent="0.25"/>
  <cols>
    <col min="1" max="1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44331</v>
      </c>
      <c r="B2" s="15" t="s">
        <v>21</v>
      </c>
      <c r="C2" s="15" t="s">
        <v>27</v>
      </c>
      <c r="D2" s="15" t="s">
        <v>22</v>
      </c>
      <c r="E2" s="15" t="s">
        <v>190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0.4375</v>
      </c>
      <c r="K2" s="17">
        <v>0.42638888888888887</v>
      </c>
      <c r="L2" s="16">
        <v>0.27083333333333331</v>
      </c>
      <c r="M2" s="17">
        <v>0.27499999999999997</v>
      </c>
      <c r="N2" s="15" t="s">
        <v>193</v>
      </c>
      <c r="O2" s="15" t="s">
        <v>191</v>
      </c>
      <c r="P2" s="15">
        <v>1050</v>
      </c>
      <c r="Q2" s="15">
        <v>862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44331</v>
      </c>
      <c r="B3" s="15" t="s">
        <v>21</v>
      </c>
      <c r="C3" s="15" t="s">
        <v>24</v>
      </c>
      <c r="D3" s="15" t="s">
        <v>22</v>
      </c>
      <c r="E3" s="15" t="s">
        <v>34</v>
      </c>
      <c r="F3" s="15" t="s">
        <v>23</v>
      </c>
      <c r="G3" s="15">
        <v>70000</v>
      </c>
      <c r="H3" s="15" t="s">
        <v>25</v>
      </c>
      <c r="I3" s="15" t="s">
        <v>26</v>
      </c>
      <c r="J3" s="16">
        <v>0.72569444444444453</v>
      </c>
      <c r="K3" s="17">
        <v>0.74513888888888891</v>
      </c>
      <c r="L3" s="16">
        <v>0.37152777777777773</v>
      </c>
      <c r="M3" s="17">
        <v>0.38472222222222219</v>
      </c>
      <c r="N3" s="15" t="s">
        <v>200</v>
      </c>
      <c r="O3" s="15" t="s">
        <v>192</v>
      </c>
      <c r="P3" s="15">
        <v>1573</v>
      </c>
      <c r="Q3" s="15">
        <v>948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44331</v>
      </c>
      <c r="B4" s="15" t="s">
        <v>21</v>
      </c>
      <c r="C4" s="15" t="s">
        <v>30</v>
      </c>
      <c r="D4" s="15" t="s">
        <v>22</v>
      </c>
      <c r="E4" s="15" t="s">
        <v>190</v>
      </c>
      <c r="F4" s="15" t="s">
        <v>23</v>
      </c>
      <c r="G4" s="15">
        <v>70000</v>
      </c>
      <c r="H4" s="15" t="s">
        <v>31</v>
      </c>
      <c r="I4" s="15" t="s">
        <v>32</v>
      </c>
      <c r="J4" s="16">
        <v>0.67361111111111116</v>
      </c>
      <c r="K4" s="17">
        <v>0.65208333333333335</v>
      </c>
      <c r="L4" s="16">
        <v>0.46875</v>
      </c>
      <c r="M4" s="17">
        <v>0.47291666666666665</v>
      </c>
      <c r="N4" s="15" t="s">
        <v>199</v>
      </c>
      <c r="O4" s="15" t="s">
        <v>194</v>
      </c>
      <c r="P4" s="15">
        <v>675</v>
      </c>
      <c r="Q4" s="15">
        <v>741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44331</v>
      </c>
      <c r="B5" s="15" t="s">
        <v>100</v>
      </c>
      <c r="C5" s="15" t="s">
        <v>195</v>
      </c>
      <c r="D5" s="15" t="s">
        <v>196</v>
      </c>
      <c r="E5" s="15" t="s">
        <v>198</v>
      </c>
      <c r="F5" s="15" t="s">
        <v>99</v>
      </c>
      <c r="G5" s="15">
        <v>6000</v>
      </c>
      <c r="H5" s="15" t="s">
        <v>197</v>
      </c>
      <c r="I5" s="4"/>
      <c r="J5" s="6">
        <v>0.47222222222222227</v>
      </c>
      <c r="K5" s="6">
        <v>0.47916666666666669</v>
      </c>
      <c r="L5" s="6">
        <v>0.51388888888888895</v>
      </c>
      <c r="M5" s="4"/>
      <c r="N5" s="4">
        <v>3</v>
      </c>
      <c r="O5" s="4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7" sqref="A7:XFD7"/>
    </sheetView>
  </sheetViews>
  <sheetFormatPr defaultRowHeight="15" x14ac:dyDescent="0.25"/>
  <cols>
    <col min="1" max="1" width="10.140625" style="9" bestFit="1" customWidth="1"/>
    <col min="2" max="2" width="18.7109375" bestFit="1" customWidth="1"/>
    <col min="3" max="3" width="19.140625" customWidth="1"/>
    <col min="6" max="6" width="14.71093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44332</v>
      </c>
      <c r="B2" s="4" t="s">
        <v>21</v>
      </c>
      <c r="C2" s="4" t="s">
        <v>49</v>
      </c>
      <c r="D2" s="4" t="s">
        <v>22</v>
      </c>
      <c r="E2" s="4" t="s">
        <v>190</v>
      </c>
      <c r="F2" s="4" t="s">
        <v>23</v>
      </c>
      <c r="G2" s="4">
        <v>70000</v>
      </c>
      <c r="H2" s="4" t="s">
        <v>52</v>
      </c>
      <c r="I2" s="4" t="s">
        <v>53</v>
      </c>
      <c r="J2" s="5">
        <v>0.69444444444444453</v>
      </c>
      <c r="K2" s="6">
        <v>0.69444444444444453</v>
      </c>
      <c r="L2" s="5">
        <v>0.51736111111111105</v>
      </c>
      <c r="M2" s="6">
        <v>0.52083333333333337</v>
      </c>
      <c r="N2" s="4" t="s">
        <v>205</v>
      </c>
      <c r="O2" s="4" t="s">
        <v>202</v>
      </c>
      <c r="P2" s="4">
        <v>1419</v>
      </c>
      <c r="Q2" s="4">
        <v>1259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f t="shared" ref="A3:A8" si="0">A2</f>
        <v>44332</v>
      </c>
      <c r="B3" s="4" t="s">
        <v>21</v>
      </c>
      <c r="C3" s="4" t="s">
        <v>48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51</v>
      </c>
      <c r="I3" s="4" t="s">
        <v>54</v>
      </c>
      <c r="J3" s="5">
        <v>0.91319444444444453</v>
      </c>
      <c r="K3" s="6">
        <v>0.89930555555555547</v>
      </c>
      <c r="L3" s="5">
        <v>0.67708333333333337</v>
      </c>
      <c r="M3" s="6">
        <v>0.67847222222222225</v>
      </c>
      <c r="N3" s="4" t="s">
        <v>206</v>
      </c>
      <c r="O3" s="4" t="s">
        <v>207</v>
      </c>
      <c r="P3" s="4">
        <v>1100</v>
      </c>
      <c r="Q3" s="4">
        <v>997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f t="shared" si="0"/>
        <v>44332</v>
      </c>
      <c r="B4" s="4" t="s">
        <v>21</v>
      </c>
      <c r="C4" s="4" t="s">
        <v>56</v>
      </c>
      <c r="D4" s="4" t="s">
        <v>22</v>
      </c>
      <c r="E4" s="4" t="str">
        <f>E2</f>
        <v>HA-LYN</v>
      </c>
      <c r="F4" s="4" t="s">
        <v>23</v>
      </c>
      <c r="G4" s="4">
        <v>70000</v>
      </c>
      <c r="H4" s="4" t="s">
        <v>58</v>
      </c>
      <c r="I4" s="4" t="s">
        <v>59</v>
      </c>
      <c r="J4" s="5">
        <v>0.90625</v>
      </c>
      <c r="K4" s="6">
        <v>0.91249999999999998</v>
      </c>
      <c r="L4" s="5">
        <v>0.71527777777777779</v>
      </c>
      <c r="M4" s="6">
        <v>0.72777777777777775</v>
      </c>
      <c r="N4" s="4" t="s">
        <v>208</v>
      </c>
      <c r="O4" s="4" t="s">
        <v>209</v>
      </c>
      <c r="P4" s="4">
        <v>1263</v>
      </c>
      <c r="Q4" s="4">
        <v>1109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 t="shared" si="0"/>
        <v>44332</v>
      </c>
      <c r="B5" s="4" t="s">
        <v>97</v>
      </c>
      <c r="C5" s="4" t="s">
        <v>203</v>
      </c>
      <c r="D5" s="4" t="s">
        <v>165</v>
      </c>
      <c r="E5" s="4">
        <v>26266</v>
      </c>
      <c r="F5" s="4" t="s">
        <v>168</v>
      </c>
      <c r="G5" s="4">
        <v>9979</v>
      </c>
      <c r="H5" s="4" t="str">
        <f>I5</f>
        <v>R26266</v>
      </c>
      <c r="I5" s="4" t="s">
        <v>201</v>
      </c>
      <c r="J5" s="5">
        <v>0.60416666666666663</v>
      </c>
      <c r="K5" s="6">
        <v>0.57986111111111105</v>
      </c>
      <c r="L5" s="5">
        <v>0.35416666666666669</v>
      </c>
      <c r="M5" s="6">
        <v>0.36944444444444446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 t="shared" si="0"/>
        <v>44332</v>
      </c>
      <c r="B6" s="4" t="s">
        <v>97</v>
      </c>
      <c r="C6" s="4" t="s">
        <v>98</v>
      </c>
      <c r="D6" s="4" t="s">
        <v>165</v>
      </c>
      <c r="E6" s="4">
        <v>20165</v>
      </c>
      <c r="F6" s="4" t="s">
        <v>168</v>
      </c>
      <c r="G6" s="4">
        <v>9979</v>
      </c>
      <c r="H6" s="4" t="s">
        <v>170</v>
      </c>
      <c r="I6" s="4" t="str">
        <f>H6</f>
        <v>R20165</v>
      </c>
      <c r="J6" s="5">
        <v>0.72916666666666663</v>
      </c>
      <c r="K6" s="6">
        <v>0.73888888888888893</v>
      </c>
      <c r="L6" s="5">
        <v>0.60416666666666663</v>
      </c>
      <c r="M6" s="6">
        <v>0.6118055555555556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>
        <f t="shared" si="0"/>
        <v>44332</v>
      </c>
      <c r="B7" s="4" t="s">
        <v>97</v>
      </c>
      <c r="C7" s="4" t="str">
        <f>C6</f>
        <v>LOCAL FLIGHT</v>
      </c>
      <c r="D7" s="4" t="s">
        <v>165</v>
      </c>
      <c r="E7" s="4">
        <v>20169</v>
      </c>
      <c r="F7" s="4" t="s">
        <v>168</v>
      </c>
      <c r="G7" s="4">
        <v>9979</v>
      </c>
      <c r="H7" s="4" t="s">
        <v>204</v>
      </c>
      <c r="I7" s="4" t="str">
        <f>H7</f>
        <v>R20169</v>
      </c>
      <c r="J7" s="5">
        <f>J6</f>
        <v>0.72916666666666663</v>
      </c>
      <c r="K7" s="6">
        <v>0.73888888888888893</v>
      </c>
      <c r="L7" s="5">
        <v>0.60416666666666663</v>
      </c>
      <c r="M7" s="6">
        <f>M6</f>
        <v>0.6118055555555556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3">
        <f t="shared" si="0"/>
        <v>44332</v>
      </c>
      <c r="B8" s="4" t="s">
        <v>97</v>
      </c>
      <c r="C8" s="4" t="s">
        <v>98</v>
      </c>
      <c r="D8" s="4" t="s">
        <v>165</v>
      </c>
      <c r="E8" s="4">
        <v>20165</v>
      </c>
      <c r="F8" s="4" t="s">
        <v>168</v>
      </c>
      <c r="G8" s="4">
        <v>9979</v>
      </c>
      <c r="H8" s="4" t="s">
        <v>170</v>
      </c>
      <c r="I8" s="4" t="str">
        <f>H8</f>
        <v>R20165</v>
      </c>
      <c r="J8" s="5">
        <v>0.98958333333333337</v>
      </c>
      <c r="K8" s="6">
        <v>0.95000000000000007</v>
      </c>
      <c r="L8" s="5">
        <v>0.86458333333333337</v>
      </c>
      <c r="M8" s="6">
        <v>0.86458333333333337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3" sqref="A3:XFD4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3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44333</v>
      </c>
      <c r="B2" s="4" t="s">
        <v>21</v>
      </c>
      <c r="C2" s="4" t="s">
        <v>65</v>
      </c>
      <c r="D2" s="4" t="s">
        <v>22</v>
      </c>
      <c r="E2" s="4" t="s">
        <v>190</v>
      </c>
      <c r="F2" s="4" t="s">
        <v>23</v>
      </c>
      <c r="G2" s="4">
        <v>70000</v>
      </c>
      <c r="H2" s="4" t="s">
        <v>69</v>
      </c>
      <c r="I2" s="4" t="s">
        <v>73</v>
      </c>
      <c r="J2" s="5">
        <v>0.45833333333333331</v>
      </c>
      <c r="K2" s="6">
        <v>0.44861111111111113</v>
      </c>
      <c r="L2" s="5">
        <v>0.25694444444444448</v>
      </c>
      <c r="M2" s="6">
        <v>0.26458333333333334</v>
      </c>
      <c r="N2" s="4" t="s">
        <v>211</v>
      </c>
      <c r="O2" s="4" t="s">
        <v>210</v>
      </c>
      <c r="P2" s="4">
        <v>768</v>
      </c>
      <c r="Q2" s="4">
        <v>935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44333</v>
      </c>
      <c r="B3" s="4" t="s">
        <v>21</v>
      </c>
      <c r="C3" s="4" t="s">
        <v>66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70</v>
      </c>
      <c r="I3" s="4" t="s">
        <v>74</v>
      </c>
      <c r="J3" s="5">
        <v>0.90277777777777779</v>
      </c>
      <c r="K3" s="6">
        <v>0.91527777777777775</v>
      </c>
      <c r="L3" s="5">
        <v>0.46875</v>
      </c>
      <c r="M3" s="6">
        <v>0.48819444444444443</v>
      </c>
      <c r="N3" s="4" t="s">
        <v>217</v>
      </c>
      <c r="O3" s="4" t="s">
        <v>212</v>
      </c>
      <c r="P3" s="4">
        <v>581</v>
      </c>
      <c r="Q3" s="4">
        <v>846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44333</v>
      </c>
      <c r="B4" s="4" t="s">
        <v>21</v>
      </c>
      <c r="C4" s="4" t="s">
        <v>139</v>
      </c>
      <c r="D4" s="4" t="s">
        <v>22</v>
      </c>
      <c r="E4" s="4" t="str">
        <f>E2</f>
        <v>HA-LYN</v>
      </c>
      <c r="F4" s="4" t="s">
        <v>23</v>
      </c>
      <c r="G4" s="4">
        <v>70000</v>
      </c>
      <c r="H4" s="4" t="s">
        <v>141</v>
      </c>
      <c r="I4" s="4" t="s">
        <v>75</v>
      </c>
      <c r="J4" s="5">
        <v>0.71875</v>
      </c>
      <c r="K4" s="6">
        <v>0.72777777777777775</v>
      </c>
      <c r="L4" s="5">
        <v>0.48958333333333331</v>
      </c>
      <c r="M4" s="6">
        <v>0.50902777777777775</v>
      </c>
      <c r="N4" s="4" t="s">
        <v>214</v>
      </c>
      <c r="O4" s="4" t="s">
        <v>213</v>
      </c>
      <c r="P4" s="4">
        <v>812</v>
      </c>
      <c r="Q4" s="4">
        <v>970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44333</v>
      </c>
      <c r="B5" s="4" t="s">
        <v>21</v>
      </c>
      <c r="C5" s="4" t="s">
        <v>68</v>
      </c>
      <c r="D5" s="4" t="s">
        <v>22</v>
      </c>
      <c r="E5" s="4" t="str">
        <f>E4</f>
        <v>HA-LYN</v>
      </c>
      <c r="F5" s="4" t="s">
        <v>23</v>
      </c>
      <c r="G5" s="4">
        <v>70000</v>
      </c>
      <c r="H5" s="4" t="s">
        <v>72</v>
      </c>
      <c r="I5" s="4" t="s">
        <v>142</v>
      </c>
      <c r="J5" s="5">
        <v>0.92013888888888884</v>
      </c>
      <c r="K5" s="6">
        <v>0.94097222222222221</v>
      </c>
      <c r="L5" s="5">
        <v>0.73958333333333337</v>
      </c>
      <c r="M5" s="6">
        <v>0.76388888888888884</v>
      </c>
      <c r="N5" s="4" t="s">
        <v>218</v>
      </c>
      <c r="O5" s="4" t="s">
        <v>215</v>
      </c>
      <c r="P5" s="4">
        <v>695</v>
      </c>
      <c r="Q5" s="4">
        <v>1099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 t="shared" ref="A6" si="0">A5</f>
        <v>44333</v>
      </c>
      <c r="B6" s="4" t="s">
        <v>97</v>
      </c>
      <c r="C6" s="4" t="s">
        <v>216</v>
      </c>
      <c r="D6" s="4" t="s">
        <v>165</v>
      </c>
      <c r="E6" s="4">
        <v>20169</v>
      </c>
      <c r="F6" s="4" t="s">
        <v>168</v>
      </c>
      <c r="G6" s="4">
        <v>9979</v>
      </c>
      <c r="H6" s="4" t="s">
        <v>204</v>
      </c>
      <c r="I6" s="4" t="str">
        <f>H6</f>
        <v>R20169</v>
      </c>
      <c r="J6" s="5">
        <v>0.90277777777777779</v>
      </c>
      <c r="K6" s="6">
        <v>0.90277777777777779</v>
      </c>
      <c r="L6" s="5">
        <v>0.3833333333333333</v>
      </c>
      <c r="M6" s="6">
        <v>0.3833333333333333</v>
      </c>
      <c r="N6" s="4" t="s">
        <v>44</v>
      </c>
      <c r="O6" s="4" t="s">
        <v>44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3" sqref="A3:XFD3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3.28515625" bestFit="1" customWidth="1"/>
    <col min="6" max="6" width="14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373052</v>
      </c>
      <c r="B2" s="15" t="s">
        <v>21</v>
      </c>
      <c r="C2" s="15" t="s">
        <v>27</v>
      </c>
      <c r="D2" s="15" t="s">
        <v>22</v>
      </c>
      <c r="E2" s="15" t="s">
        <v>190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0.4375</v>
      </c>
      <c r="K2" s="17">
        <v>0.43402777777777773</v>
      </c>
      <c r="L2" s="16">
        <v>0.27083333333333331</v>
      </c>
      <c r="M2" s="17">
        <v>0.28819444444444448</v>
      </c>
      <c r="N2" s="15" t="s">
        <v>220</v>
      </c>
      <c r="O2" s="15" t="s">
        <v>219</v>
      </c>
      <c r="P2" s="15">
        <v>455</v>
      </c>
      <c r="Q2" s="15">
        <v>851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44334</v>
      </c>
      <c r="B3" s="15" t="s">
        <v>21</v>
      </c>
      <c r="C3" s="15" t="s">
        <v>30</v>
      </c>
      <c r="D3" s="15" t="s">
        <v>22</v>
      </c>
      <c r="E3" s="15" t="s">
        <v>190</v>
      </c>
      <c r="F3" s="15" t="s">
        <v>23</v>
      </c>
      <c r="G3" s="15">
        <v>70000</v>
      </c>
      <c r="H3" s="15" t="s">
        <v>31</v>
      </c>
      <c r="I3" s="15" t="s">
        <v>32</v>
      </c>
      <c r="J3" s="16">
        <v>0.67361111111111116</v>
      </c>
      <c r="K3" s="17">
        <v>0.65416666666666667</v>
      </c>
      <c r="L3" s="16">
        <v>0.46875</v>
      </c>
      <c r="M3" s="17">
        <v>0.4680555555555555</v>
      </c>
      <c r="N3" s="15" t="s">
        <v>223</v>
      </c>
      <c r="O3" s="15" t="s">
        <v>221</v>
      </c>
      <c r="P3" s="15">
        <v>358</v>
      </c>
      <c r="Q3" s="15">
        <v>635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44334</v>
      </c>
      <c r="B4" s="15" t="s">
        <v>21</v>
      </c>
      <c r="C4" s="15" t="s">
        <v>24</v>
      </c>
      <c r="D4" s="15" t="s">
        <v>22</v>
      </c>
      <c r="E4" s="15" t="s">
        <v>34</v>
      </c>
      <c r="F4" s="15" t="s">
        <v>23</v>
      </c>
      <c r="G4" s="15">
        <v>70000</v>
      </c>
      <c r="H4" s="15" t="s">
        <v>26</v>
      </c>
      <c r="I4" s="15" t="s">
        <v>25</v>
      </c>
      <c r="J4" s="16">
        <v>0.95486111111111116</v>
      </c>
      <c r="K4" s="17">
        <v>0.93819444444444444</v>
      </c>
      <c r="L4" s="16">
        <v>0.60069444444444442</v>
      </c>
      <c r="M4" s="17">
        <v>0.62361111111111112</v>
      </c>
      <c r="N4" s="15" t="s">
        <v>226</v>
      </c>
      <c r="O4" s="15" t="s">
        <v>222</v>
      </c>
      <c r="P4" s="15">
        <v>632</v>
      </c>
      <c r="Q4" s="15">
        <v>982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44334</v>
      </c>
      <c r="B5" s="15" t="s">
        <v>100</v>
      </c>
      <c r="C5" s="15" t="s">
        <v>161</v>
      </c>
      <c r="D5" s="15" t="s">
        <v>225</v>
      </c>
      <c r="E5" s="4">
        <v>70102</v>
      </c>
      <c r="F5" s="15" t="s">
        <v>99</v>
      </c>
      <c r="G5" s="15">
        <v>8000</v>
      </c>
      <c r="H5" s="4" t="s">
        <v>224</v>
      </c>
      <c r="I5" s="4" t="s">
        <v>224</v>
      </c>
      <c r="J5" s="5">
        <v>0.41666666666666669</v>
      </c>
      <c r="K5" s="6">
        <v>0.46527777777777773</v>
      </c>
      <c r="L5" s="5">
        <v>0.47916666666666669</v>
      </c>
      <c r="M5" s="6">
        <v>0.49652777777777773</v>
      </c>
      <c r="N5" s="4">
        <v>0</v>
      </c>
      <c r="O5" s="4">
        <v>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 t="shared" ref="A6:A9" si="0">A5</f>
        <v>44334</v>
      </c>
      <c r="B6" s="4" t="s">
        <v>97</v>
      </c>
      <c r="C6" s="4" t="s">
        <v>171</v>
      </c>
      <c r="D6" s="4" t="s">
        <v>165</v>
      </c>
      <c r="E6" s="4">
        <v>20169</v>
      </c>
      <c r="F6" s="4" t="s">
        <v>168</v>
      </c>
      <c r="G6" s="4">
        <v>9979</v>
      </c>
      <c r="H6" s="4" t="s">
        <v>204</v>
      </c>
      <c r="I6" s="4" t="str">
        <f>H6</f>
        <v>R20169</v>
      </c>
      <c r="J6" s="5">
        <v>0.63402777777777775</v>
      </c>
      <c r="K6" s="6">
        <v>0.63402777777777775</v>
      </c>
      <c r="L6" s="5">
        <v>0.5708333333333333</v>
      </c>
      <c r="M6" s="6">
        <v>0.5708333333333333</v>
      </c>
      <c r="N6" s="4" t="s">
        <v>44</v>
      </c>
      <c r="O6" s="4" t="s">
        <v>44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>
        <f t="shared" si="0"/>
        <v>44334</v>
      </c>
      <c r="B7" s="4" t="s">
        <v>97</v>
      </c>
      <c r="C7" s="4" t="s">
        <v>171</v>
      </c>
      <c r="D7" s="4" t="s">
        <v>165</v>
      </c>
      <c r="E7" s="4">
        <v>26266</v>
      </c>
      <c r="F7" s="4" t="s">
        <v>168</v>
      </c>
      <c r="G7" s="4">
        <v>9979</v>
      </c>
      <c r="H7" s="4" t="s">
        <v>201</v>
      </c>
      <c r="I7" s="4" t="str">
        <f>H7</f>
        <v>R26266</v>
      </c>
      <c r="J7" s="5">
        <v>0.52916666666666667</v>
      </c>
      <c r="K7" s="6">
        <v>0.52916666666666667</v>
      </c>
      <c r="L7" s="5">
        <v>0.42222222222222222</v>
      </c>
      <c r="M7" s="6">
        <v>0.42222222222222222</v>
      </c>
      <c r="N7" s="4" t="s">
        <v>44</v>
      </c>
      <c r="O7" s="4" t="s">
        <v>44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3">
        <f t="shared" si="0"/>
        <v>44334</v>
      </c>
      <c r="B8" s="4" t="s">
        <v>97</v>
      </c>
      <c r="C8" s="4" t="s">
        <v>171</v>
      </c>
      <c r="D8" s="4" t="s">
        <v>165</v>
      </c>
      <c r="E8" s="4">
        <v>20165</v>
      </c>
      <c r="F8" s="4" t="s">
        <v>168</v>
      </c>
      <c r="G8" s="4">
        <v>9979</v>
      </c>
      <c r="H8" s="4" t="s">
        <v>170</v>
      </c>
      <c r="I8" s="4" t="str">
        <f>H8</f>
        <v>R20165</v>
      </c>
      <c r="J8" s="5">
        <v>0.95833333333333337</v>
      </c>
      <c r="K8" s="6">
        <v>0.95833333333333337</v>
      </c>
      <c r="L8" s="5">
        <v>0.38472222222222219</v>
      </c>
      <c r="M8" s="6">
        <v>0.38472222222222219</v>
      </c>
      <c r="N8" s="4" t="s">
        <v>44</v>
      </c>
      <c r="O8" s="4" t="s">
        <v>44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3">
        <f t="shared" si="0"/>
        <v>44334</v>
      </c>
      <c r="B9" s="4" t="s">
        <v>97</v>
      </c>
      <c r="C9" s="4" t="s">
        <v>171</v>
      </c>
      <c r="D9" s="4" t="s">
        <v>165</v>
      </c>
      <c r="E9" s="4">
        <v>20169</v>
      </c>
      <c r="F9" s="4" t="s">
        <v>168</v>
      </c>
      <c r="G9" s="4">
        <v>9979</v>
      </c>
      <c r="H9" s="4" t="s">
        <v>204</v>
      </c>
      <c r="I9" s="4" t="str">
        <f>H9</f>
        <v>R20169</v>
      </c>
      <c r="J9" s="5"/>
      <c r="K9" s="6"/>
      <c r="L9" s="5">
        <v>0.74861111111111101</v>
      </c>
      <c r="M9" s="6">
        <v>0.74861111111111101</v>
      </c>
      <c r="N9" s="4" t="s">
        <v>44</v>
      </c>
      <c r="O9" s="4" t="s">
        <v>44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I32" sqref="I32"/>
    </sheetView>
  </sheetViews>
  <sheetFormatPr defaultRowHeight="15" x14ac:dyDescent="0.25"/>
  <cols>
    <col min="1" max="1" width="10.140625" bestFit="1" customWidth="1"/>
    <col min="2" max="2" width="9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44335</v>
      </c>
      <c r="B2" s="4" t="s">
        <v>21</v>
      </c>
      <c r="C2" s="4" t="s">
        <v>66</v>
      </c>
      <c r="D2" s="4" t="s">
        <v>22</v>
      </c>
      <c r="E2" s="4" t="s">
        <v>190</v>
      </c>
      <c r="F2" s="4" t="s">
        <v>23</v>
      </c>
      <c r="G2" s="4">
        <v>70000</v>
      </c>
      <c r="H2" s="4" t="s">
        <v>70</v>
      </c>
      <c r="I2" s="4" t="s">
        <v>74</v>
      </c>
      <c r="J2" s="5">
        <v>0.65972222222222221</v>
      </c>
      <c r="K2" s="6">
        <v>0.70138888888888884</v>
      </c>
      <c r="L2" s="5">
        <v>0.47569444444444442</v>
      </c>
      <c r="M2" s="6">
        <v>0.51597222222222217</v>
      </c>
      <c r="N2" s="4" t="s">
        <v>229</v>
      </c>
      <c r="O2" s="4" t="s">
        <v>227</v>
      </c>
      <c r="P2" s="4">
        <v>680</v>
      </c>
      <c r="Q2" s="4">
        <v>948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44335</v>
      </c>
      <c r="B3" s="4" t="s">
        <v>21</v>
      </c>
      <c r="C3" s="4" t="s">
        <v>48</v>
      </c>
      <c r="D3" s="4" t="s">
        <v>22</v>
      </c>
      <c r="E3" s="4" t="s">
        <v>190</v>
      </c>
      <c r="F3" s="4" t="s">
        <v>23</v>
      </c>
      <c r="G3" s="4">
        <v>70000</v>
      </c>
      <c r="H3" s="4" t="s">
        <v>51</v>
      </c>
      <c r="I3" s="4" t="s">
        <v>54</v>
      </c>
      <c r="J3" s="5">
        <v>0.91319444444444453</v>
      </c>
      <c r="K3" s="6">
        <v>0.94791666666666663</v>
      </c>
      <c r="L3" s="5">
        <v>0.68055555555555547</v>
      </c>
      <c r="M3" s="6">
        <v>0.71527777777777779</v>
      </c>
      <c r="N3" s="4" t="s">
        <v>228</v>
      </c>
      <c r="O3" s="4" t="s">
        <v>228</v>
      </c>
      <c r="P3" s="4">
        <v>710</v>
      </c>
      <c r="Q3" s="4">
        <v>710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44335</v>
      </c>
      <c r="B4" s="15" t="s">
        <v>100</v>
      </c>
      <c r="C4" s="15" t="s">
        <v>161</v>
      </c>
      <c r="D4" s="15" t="s">
        <v>230</v>
      </c>
      <c r="E4" s="4">
        <v>9900102</v>
      </c>
      <c r="F4" s="15" t="s">
        <v>99</v>
      </c>
      <c r="G4" s="15">
        <v>8000</v>
      </c>
      <c r="H4" s="4" t="s">
        <v>231</v>
      </c>
      <c r="I4" s="4" t="s">
        <v>231</v>
      </c>
      <c r="J4" s="5">
        <v>0.66666666666666663</v>
      </c>
      <c r="K4" s="6">
        <v>0.69097222222222221</v>
      </c>
      <c r="L4" s="5">
        <v>0.70833333333333337</v>
      </c>
      <c r="M4" s="6">
        <v>0.71527777777777779</v>
      </c>
      <c r="N4" s="4">
        <v>3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3" sqref="K3"/>
    </sheetView>
  </sheetViews>
  <sheetFormatPr defaultRowHeight="15" x14ac:dyDescent="0.25"/>
  <cols>
    <col min="1" max="1" width="9.85546875" style="21" bestFit="1" customWidth="1"/>
    <col min="2" max="2" width="18.28515625" style="21" bestFit="1" customWidth="1"/>
    <col min="3" max="3" width="13.7109375" style="21" customWidth="1"/>
    <col min="4" max="5" width="9.140625" style="21"/>
    <col min="6" max="6" width="14.5703125" style="21" customWidth="1"/>
    <col min="7" max="13" width="9.140625" style="21"/>
    <col min="14" max="15" width="18.42578125" style="21" bestFit="1" customWidth="1"/>
    <col min="16" max="16384" width="9.140625" style="2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customFormat="1" x14ac:dyDescent="0.25">
      <c r="A2" s="14">
        <v>373054</v>
      </c>
      <c r="B2" s="15" t="s">
        <v>21</v>
      </c>
      <c r="C2" s="15" t="s">
        <v>27</v>
      </c>
      <c r="D2" s="15" t="s">
        <v>22</v>
      </c>
      <c r="E2" s="15" t="s">
        <v>34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0.875</v>
      </c>
      <c r="K2" s="17">
        <v>0.86875000000000002</v>
      </c>
      <c r="L2" s="16">
        <v>0.70833333333333337</v>
      </c>
      <c r="M2" s="17">
        <v>0.71458333333333324</v>
      </c>
      <c r="N2" s="15" t="s">
        <v>232</v>
      </c>
      <c r="O2" s="15" t="s">
        <v>234</v>
      </c>
      <c r="P2" s="15">
        <v>691</v>
      </c>
      <c r="Q2" s="15">
        <v>237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44336</v>
      </c>
      <c r="B3" s="4" t="s">
        <v>21</v>
      </c>
      <c r="C3" s="4" t="s">
        <v>24</v>
      </c>
      <c r="D3" s="4" t="s">
        <v>22</v>
      </c>
      <c r="E3" s="4" t="s">
        <v>190</v>
      </c>
      <c r="F3" s="4" t="s">
        <v>23</v>
      </c>
      <c r="G3" s="4">
        <v>70000</v>
      </c>
      <c r="H3" s="4" t="s">
        <v>25</v>
      </c>
      <c r="I3" s="4" t="s">
        <v>26</v>
      </c>
      <c r="J3" s="5">
        <v>0.94097222222222221</v>
      </c>
      <c r="K3" s="6">
        <v>0.92499999999999993</v>
      </c>
      <c r="L3" s="5">
        <v>0.79513888888888884</v>
      </c>
      <c r="M3" s="6">
        <v>0.79166666666666663</v>
      </c>
      <c r="N3" s="4" t="s">
        <v>233</v>
      </c>
      <c r="O3" s="4" t="s">
        <v>235</v>
      </c>
      <c r="P3" s="4">
        <v>828</v>
      </c>
      <c r="Q3" s="4">
        <v>574</v>
      </c>
      <c r="R3" s="4">
        <v>0</v>
      </c>
      <c r="S3" s="4">
        <v>0</v>
      </c>
      <c r="T3" s="4">
        <v>0</v>
      </c>
      <c r="U3" s="4">
        <v>0</v>
      </c>
    </row>
    <row r="4" spans="1:21" s="20" customFormat="1" x14ac:dyDescent="0.25">
      <c r="A4" s="3"/>
      <c r="B4" s="4"/>
      <c r="C4" s="4"/>
      <c r="D4" s="4"/>
      <c r="E4" s="4"/>
      <c r="F4" s="4"/>
      <c r="G4" s="4"/>
      <c r="H4" s="4"/>
      <c r="I4" s="4"/>
      <c r="J4" s="5"/>
      <c r="K4" s="6"/>
      <c r="L4" s="5"/>
      <c r="M4" s="6"/>
      <c r="N4" s="4"/>
      <c r="O4" s="4"/>
      <c r="P4" s="4"/>
      <c r="Q4" s="4"/>
      <c r="R4" s="4"/>
      <c r="S4" s="4"/>
      <c r="T4" s="4"/>
      <c r="U4" s="4"/>
    </row>
    <row r="5" spans="1:21" s="20" customFormat="1" x14ac:dyDescent="0.25">
      <c r="A5" s="3"/>
      <c r="B5" s="4"/>
      <c r="C5" s="4"/>
      <c r="D5" s="4"/>
      <c r="E5" s="4"/>
      <c r="F5" s="4"/>
      <c r="G5" s="4"/>
      <c r="H5" s="4"/>
      <c r="I5" s="4"/>
      <c r="J5" s="5"/>
      <c r="K5" s="6"/>
      <c r="L5" s="5"/>
      <c r="M5" s="6"/>
      <c r="N5" s="4"/>
      <c r="O5" s="4"/>
      <c r="P5" s="4"/>
      <c r="Q5" s="4"/>
      <c r="R5" s="4"/>
      <c r="S5" s="4"/>
      <c r="T5" s="4"/>
      <c r="U5" s="4"/>
    </row>
    <row r="6" spans="1:21" x14ac:dyDescent="0.25">
      <c r="A6" s="3"/>
      <c r="B6" s="4"/>
      <c r="C6" s="4"/>
      <c r="D6" s="4"/>
      <c r="E6" s="4"/>
      <c r="F6" s="4"/>
      <c r="G6" s="4"/>
      <c r="H6" s="4"/>
      <c r="I6" s="4"/>
      <c r="J6" s="5"/>
      <c r="K6" s="6"/>
      <c r="L6" s="5"/>
      <c r="M6" s="6"/>
      <c r="N6" s="4"/>
      <c r="O6" s="4"/>
      <c r="P6" s="4"/>
      <c r="Q6" s="4"/>
      <c r="R6" s="4"/>
      <c r="S6" s="4"/>
      <c r="T6" s="4"/>
      <c r="U6" s="4"/>
    </row>
    <row r="7" spans="1:21" s="4" customFormat="1" ht="12.75" x14ac:dyDescent="0.2">
      <c r="A7" s="3"/>
      <c r="J7" s="5"/>
      <c r="K7" s="6"/>
      <c r="L7" s="8"/>
    </row>
    <row r="8" spans="1:21" s="4" customFormat="1" ht="12.75" x14ac:dyDescent="0.2">
      <c r="A8" s="3"/>
      <c r="J8" s="5"/>
      <c r="K8" s="6"/>
      <c r="L8" s="8"/>
    </row>
    <row r="9" spans="1:21" s="4" customFormat="1" ht="12.75" x14ac:dyDescent="0.2">
      <c r="A9" s="3"/>
      <c r="J9" s="5"/>
      <c r="K9" s="6"/>
      <c r="L9" s="5"/>
      <c r="M9" s="6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B7" sqref="B7:U7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44337</v>
      </c>
      <c r="B2" s="15" t="s">
        <v>21</v>
      </c>
      <c r="C2" s="15" t="s">
        <v>65</v>
      </c>
      <c r="D2" s="15" t="s">
        <v>22</v>
      </c>
      <c r="E2" s="15" t="s">
        <v>34</v>
      </c>
      <c r="F2" s="15" t="s">
        <v>23</v>
      </c>
      <c r="G2" s="15">
        <v>70000</v>
      </c>
      <c r="H2" s="15" t="s">
        <v>69</v>
      </c>
      <c r="I2" s="15" t="s">
        <v>73</v>
      </c>
      <c r="J2" s="16">
        <v>0.45833333333333331</v>
      </c>
      <c r="K2" s="17">
        <v>0.44166666666666665</v>
      </c>
      <c r="L2" s="16">
        <v>0.25694444444444448</v>
      </c>
      <c r="M2" s="17">
        <v>0.25138888888888888</v>
      </c>
      <c r="N2" s="15" t="s">
        <v>240</v>
      </c>
      <c r="O2" s="15" t="s">
        <v>236</v>
      </c>
      <c r="P2" s="15">
        <v>845</v>
      </c>
      <c r="Q2" s="15">
        <v>451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44337</v>
      </c>
      <c r="B3" s="15" t="s">
        <v>21</v>
      </c>
      <c r="C3" s="15" t="s">
        <v>67</v>
      </c>
      <c r="D3" s="15" t="s">
        <v>22</v>
      </c>
      <c r="E3" s="15" t="s">
        <v>34</v>
      </c>
      <c r="F3" s="15" t="s">
        <v>23</v>
      </c>
      <c r="G3" s="15">
        <v>70000</v>
      </c>
      <c r="H3" s="15" t="s">
        <v>141</v>
      </c>
      <c r="I3" s="15" t="s">
        <v>75</v>
      </c>
      <c r="J3" s="16">
        <v>0.72569444444444453</v>
      </c>
      <c r="K3" s="17">
        <v>0.73958333333333337</v>
      </c>
      <c r="L3" s="16">
        <v>0.49652777777777773</v>
      </c>
      <c r="M3" s="17">
        <v>0.51388888888888895</v>
      </c>
      <c r="N3" s="15" t="s">
        <v>243</v>
      </c>
      <c r="O3" s="15" t="s">
        <v>241</v>
      </c>
      <c r="P3" s="15">
        <v>811</v>
      </c>
      <c r="Q3" s="15">
        <v>626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44337</v>
      </c>
      <c r="B4" s="15" t="s">
        <v>21</v>
      </c>
      <c r="C4" s="15" t="s">
        <v>66</v>
      </c>
      <c r="D4" s="15" t="s">
        <v>22</v>
      </c>
      <c r="E4" s="15" t="s">
        <v>190</v>
      </c>
      <c r="F4" s="15" t="s">
        <v>23</v>
      </c>
      <c r="G4" s="15">
        <v>70000</v>
      </c>
      <c r="H4" s="15" t="s">
        <v>70</v>
      </c>
      <c r="I4" s="15" t="s">
        <v>74</v>
      </c>
      <c r="J4" s="16">
        <v>0.92361111111111116</v>
      </c>
      <c r="K4" s="17">
        <v>0.93680555555555556</v>
      </c>
      <c r="L4" s="16">
        <v>0.48958333333333331</v>
      </c>
      <c r="M4" s="17">
        <v>0.49791666666666662</v>
      </c>
      <c r="N4" s="15" t="s">
        <v>245</v>
      </c>
      <c r="O4" s="15" t="s">
        <v>242</v>
      </c>
      <c r="P4" s="15">
        <v>752</v>
      </c>
      <c r="Q4" s="15">
        <v>892</v>
      </c>
      <c r="R4" s="4">
        <v>0</v>
      </c>
      <c r="S4" s="4">
        <v>0</v>
      </c>
      <c r="T4" s="4">
        <v>0</v>
      </c>
      <c r="U4" s="4">
        <v>0</v>
      </c>
    </row>
    <row r="5" spans="1:21" s="9" customFormat="1" x14ac:dyDescent="0.25">
      <c r="A5" s="3">
        <v>44337</v>
      </c>
      <c r="B5" s="15" t="s">
        <v>21</v>
      </c>
      <c r="C5" s="15" t="s">
        <v>68</v>
      </c>
      <c r="D5" s="15" t="s">
        <v>22</v>
      </c>
      <c r="E5" s="4" t="s">
        <v>34</v>
      </c>
      <c r="F5" s="4" t="s">
        <v>23</v>
      </c>
      <c r="G5" s="4">
        <v>70000</v>
      </c>
      <c r="H5" s="15" t="s">
        <v>72</v>
      </c>
      <c r="I5" s="15" t="s">
        <v>142</v>
      </c>
      <c r="J5" s="5">
        <v>0.94791666666666663</v>
      </c>
      <c r="K5" s="6">
        <v>0.95833333333333337</v>
      </c>
      <c r="L5" s="5">
        <v>0.75694444444444453</v>
      </c>
      <c r="M5" s="6">
        <v>0.77222222222222225</v>
      </c>
      <c r="N5" s="4" t="s">
        <v>246</v>
      </c>
      <c r="O5" s="4" t="s">
        <v>244</v>
      </c>
      <c r="P5" s="4">
        <v>822</v>
      </c>
      <c r="Q5" s="4">
        <v>779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44337</v>
      </c>
      <c r="B6" s="15" t="s">
        <v>100</v>
      </c>
      <c r="C6" s="15" t="s">
        <v>237</v>
      </c>
      <c r="D6" s="15" t="s">
        <v>238</v>
      </c>
      <c r="E6" s="4">
        <v>40156</v>
      </c>
      <c r="F6" s="15" t="s">
        <v>99</v>
      </c>
      <c r="G6" s="15">
        <v>7000</v>
      </c>
      <c r="H6" s="4" t="s">
        <v>231</v>
      </c>
      <c r="I6" s="4" t="s">
        <v>231</v>
      </c>
      <c r="J6" s="5">
        <v>0.46875</v>
      </c>
      <c r="K6" s="6">
        <v>0.54513888888888895</v>
      </c>
      <c r="L6" s="5">
        <v>0.5</v>
      </c>
      <c r="M6" s="6">
        <v>0.57777777777777783</v>
      </c>
      <c r="N6" s="4" t="s">
        <v>239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>
        <f t="shared" ref="A7:A8" si="0">A6</f>
        <v>44337</v>
      </c>
      <c r="B7" s="4" t="s">
        <v>97</v>
      </c>
      <c r="C7" s="4" t="s">
        <v>171</v>
      </c>
      <c r="D7" s="4" t="s">
        <v>165</v>
      </c>
      <c r="E7" s="4">
        <v>26266</v>
      </c>
      <c r="F7" s="4" t="s">
        <v>168</v>
      </c>
      <c r="G7" s="4">
        <v>9979</v>
      </c>
      <c r="H7" s="4" t="s">
        <v>201</v>
      </c>
      <c r="I7" s="4" t="str">
        <f>H7</f>
        <v>R26266</v>
      </c>
      <c r="J7" s="5">
        <v>0.70833333333333337</v>
      </c>
      <c r="K7" s="6">
        <v>0.70833333333333337</v>
      </c>
      <c r="L7" s="5">
        <v>0.55555555555555558</v>
      </c>
      <c r="M7" s="6">
        <v>0.55555555555555558</v>
      </c>
      <c r="N7" s="4" t="s">
        <v>44</v>
      </c>
      <c r="O7" s="4" t="s">
        <v>44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3">
        <f t="shared" si="0"/>
        <v>44337</v>
      </c>
      <c r="B8" s="4" t="s">
        <v>97</v>
      </c>
      <c r="C8" s="4" t="s">
        <v>171</v>
      </c>
      <c r="D8" s="4" t="s">
        <v>165</v>
      </c>
      <c r="E8" s="4">
        <v>20165</v>
      </c>
      <c r="F8" s="4" t="s">
        <v>168</v>
      </c>
      <c r="G8" s="4">
        <v>9979</v>
      </c>
      <c r="H8" s="4" t="s">
        <v>170</v>
      </c>
      <c r="I8" s="4" t="str">
        <f>H8</f>
        <v>R20165</v>
      </c>
      <c r="J8" s="5">
        <v>0.56597222222222221</v>
      </c>
      <c r="K8" s="6">
        <v>0.56597222222222221</v>
      </c>
      <c r="L8" s="5">
        <v>0.38750000000000001</v>
      </c>
      <c r="M8" s="6">
        <v>0.38750000000000001</v>
      </c>
      <c r="N8" s="4" t="s">
        <v>44</v>
      </c>
      <c r="O8" s="4" t="s">
        <v>44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B5" sqref="B5:U5"/>
    </sheetView>
  </sheetViews>
  <sheetFormatPr defaultRowHeight="15" x14ac:dyDescent="0.25"/>
  <cols>
    <col min="1" max="1" width="8.7109375" bestFit="1" customWidth="1"/>
    <col min="2" max="2" width="18.7109375" bestFit="1" customWidth="1"/>
    <col min="3" max="3" width="13.28515625" bestFit="1" customWidth="1"/>
    <col min="6" max="6" width="14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44338</v>
      </c>
      <c r="B2" s="15" t="s">
        <v>21</v>
      </c>
      <c r="C2" s="15" t="s">
        <v>27</v>
      </c>
      <c r="D2" s="15" t="s">
        <v>22</v>
      </c>
      <c r="E2" s="15" t="s">
        <v>190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0.4375</v>
      </c>
      <c r="K2" s="17">
        <v>0.4284722222222222</v>
      </c>
      <c r="L2" s="16">
        <v>0.27083333333333331</v>
      </c>
      <c r="M2" s="17">
        <v>0.27569444444444446</v>
      </c>
      <c r="N2" s="15" t="s">
        <v>249</v>
      </c>
      <c r="O2" s="15" t="s">
        <v>247</v>
      </c>
      <c r="P2" s="15">
        <v>1228</v>
      </c>
      <c r="Q2" s="15">
        <v>1156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44338</v>
      </c>
      <c r="B3" s="15" t="s">
        <v>21</v>
      </c>
      <c r="C3" s="15" t="s">
        <v>24</v>
      </c>
      <c r="D3" s="15" t="s">
        <v>22</v>
      </c>
      <c r="E3" s="15" t="s">
        <v>34</v>
      </c>
      <c r="F3" s="15" t="s">
        <v>23</v>
      </c>
      <c r="G3" s="15">
        <v>70000</v>
      </c>
      <c r="H3" s="15" t="s">
        <v>26</v>
      </c>
      <c r="I3" s="15" t="s">
        <v>25</v>
      </c>
      <c r="J3" s="16">
        <v>0.70486111111111116</v>
      </c>
      <c r="K3" s="17">
        <v>0.72361111111111109</v>
      </c>
      <c r="L3" s="16">
        <v>0.35069444444444442</v>
      </c>
      <c r="M3" s="17">
        <v>0.37222222222222223</v>
      </c>
      <c r="N3" s="15" t="s">
        <v>252</v>
      </c>
      <c r="O3" s="15" t="s">
        <v>248</v>
      </c>
      <c r="P3" s="15">
        <v>1038</v>
      </c>
      <c r="Q3" s="15">
        <v>1107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44338</v>
      </c>
      <c r="B4" s="15" t="s">
        <v>21</v>
      </c>
      <c r="C4" s="15" t="s">
        <v>30</v>
      </c>
      <c r="D4" s="15" t="s">
        <v>22</v>
      </c>
      <c r="E4" s="15" t="s">
        <v>190</v>
      </c>
      <c r="F4" s="15" t="s">
        <v>23</v>
      </c>
      <c r="G4" s="15">
        <v>70000</v>
      </c>
      <c r="H4" s="15" t="s">
        <v>26</v>
      </c>
      <c r="I4" s="15" t="s">
        <v>25</v>
      </c>
      <c r="J4" s="16">
        <v>0.67361111111111116</v>
      </c>
      <c r="K4" s="17">
        <v>0.66388888888888886</v>
      </c>
      <c r="L4" s="16">
        <v>0.46875</v>
      </c>
      <c r="M4" s="17">
        <v>0.46875</v>
      </c>
      <c r="N4" s="15" t="s">
        <v>251</v>
      </c>
      <c r="O4" s="15" t="s">
        <v>250</v>
      </c>
      <c r="P4" s="15">
        <v>825</v>
      </c>
      <c r="Q4" s="15">
        <v>579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22">
        <v>44338</v>
      </c>
      <c r="B5" s="4" t="s">
        <v>97</v>
      </c>
      <c r="C5" s="4" t="s">
        <v>171</v>
      </c>
      <c r="D5" s="4" t="s">
        <v>165</v>
      </c>
      <c r="E5" s="4">
        <v>26266</v>
      </c>
      <c r="F5" s="4" t="s">
        <v>168</v>
      </c>
      <c r="G5" s="4">
        <v>9979</v>
      </c>
      <c r="H5" s="4" t="s">
        <v>201</v>
      </c>
      <c r="I5" s="4" t="str">
        <f>H5</f>
        <v>R26266</v>
      </c>
      <c r="J5" s="5"/>
      <c r="K5" s="6">
        <v>0.57638888888888895</v>
      </c>
      <c r="L5" s="5"/>
      <c r="M5" s="6">
        <v>0.38125000000000003</v>
      </c>
      <c r="N5" s="4" t="s">
        <v>44</v>
      </c>
      <c r="O5" s="4" t="s">
        <v>44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22">
        <v>44338</v>
      </c>
      <c r="B6" s="4" t="s">
        <v>97</v>
      </c>
      <c r="C6" s="4" t="s">
        <v>171</v>
      </c>
      <c r="D6" s="4" t="s">
        <v>165</v>
      </c>
      <c r="E6" s="4">
        <v>26260</v>
      </c>
      <c r="F6" s="4" t="s">
        <v>168</v>
      </c>
      <c r="G6" s="4">
        <v>9979</v>
      </c>
      <c r="H6" s="4" t="s">
        <v>131</v>
      </c>
      <c r="I6" s="4" t="str">
        <f>H6</f>
        <v>R26260</v>
      </c>
      <c r="J6" s="5"/>
      <c r="K6" s="6">
        <v>0.57638888888888895</v>
      </c>
      <c r="L6" s="5"/>
      <c r="M6" s="6">
        <v>0.38125000000000003</v>
      </c>
      <c r="N6" s="4" t="s">
        <v>44</v>
      </c>
      <c r="O6" s="4" t="s">
        <v>44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22">
        <v>44338</v>
      </c>
      <c r="B7" s="4" t="s">
        <v>97</v>
      </c>
      <c r="C7" s="4" t="s">
        <v>171</v>
      </c>
      <c r="D7" s="4" t="s">
        <v>165</v>
      </c>
      <c r="E7" s="4">
        <v>20169</v>
      </c>
      <c r="F7" s="4" t="s">
        <v>168</v>
      </c>
      <c r="G7" s="4">
        <v>9979</v>
      </c>
      <c r="H7" s="4" t="s">
        <v>204</v>
      </c>
      <c r="I7" s="4" t="str">
        <f>H7</f>
        <v>R20169</v>
      </c>
      <c r="J7" s="5"/>
      <c r="K7" s="6">
        <v>0.6875</v>
      </c>
      <c r="L7" s="5"/>
      <c r="M7" s="6">
        <v>0.37777777777777777</v>
      </c>
      <c r="N7" s="4" t="s">
        <v>44</v>
      </c>
      <c r="O7" s="4" t="s">
        <v>44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/>
    </row>
    <row r="8" spans="1:21" x14ac:dyDescent="0.25">
      <c r="A8" s="22">
        <v>44338</v>
      </c>
      <c r="B8" s="4" t="s">
        <v>97</v>
      </c>
      <c r="C8" s="4" t="s">
        <v>171</v>
      </c>
      <c r="D8" s="4" t="s">
        <v>165</v>
      </c>
      <c r="E8" s="4">
        <v>20165</v>
      </c>
      <c r="F8" s="4" t="s">
        <v>168</v>
      </c>
      <c r="G8" s="4">
        <v>9979</v>
      </c>
      <c r="H8" s="4" t="s">
        <v>170</v>
      </c>
      <c r="I8" s="4" t="str">
        <f>H8</f>
        <v>R20165</v>
      </c>
      <c r="J8" s="5"/>
      <c r="K8" s="6">
        <v>0.92708333333333337</v>
      </c>
      <c r="L8" s="5"/>
      <c r="M8" s="6">
        <v>0.35416666666666669</v>
      </c>
      <c r="N8" s="4" t="s">
        <v>44</v>
      </c>
      <c r="O8" s="4" t="s">
        <v>44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5" sqref="A5:U6"/>
    </sheetView>
  </sheetViews>
  <sheetFormatPr defaultRowHeight="15" x14ac:dyDescent="0.25"/>
  <cols>
    <col min="1" max="1" width="10.140625" style="9" bestFit="1" customWidth="1"/>
    <col min="2" max="2" width="18.7109375" bestFit="1" customWidth="1"/>
    <col min="3" max="3" width="19.140625" customWidth="1"/>
    <col min="6" max="6" width="14.71093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44339</v>
      </c>
      <c r="B2" s="4" t="s">
        <v>21</v>
      </c>
      <c r="C2" s="4" t="s">
        <v>49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52</v>
      </c>
      <c r="I2" s="4" t="s">
        <v>53</v>
      </c>
      <c r="J2" s="5">
        <v>0.69444444444444453</v>
      </c>
      <c r="K2" s="6">
        <v>0.71736111111111101</v>
      </c>
      <c r="L2" s="5">
        <v>0.51736111111111105</v>
      </c>
      <c r="M2" s="6">
        <v>0.53472222222222221</v>
      </c>
      <c r="N2" s="4" t="s">
        <v>254</v>
      </c>
      <c r="O2" s="4" t="s">
        <v>253</v>
      </c>
      <c r="P2" s="4">
        <v>1061</v>
      </c>
      <c r="Q2" s="4">
        <v>1141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f t="shared" ref="A3:A4" si="0">A2</f>
        <v>44339</v>
      </c>
      <c r="B3" s="4" t="s">
        <v>21</v>
      </c>
      <c r="C3" s="4" t="s">
        <v>48</v>
      </c>
      <c r="D3" s="4" t="s">
        <v>22</v>
      </c>
      <c r="E3" s="4" t="s">
        <v>190</v>
      </c>
      <c r="F3" s="4" t="s">
        <v>23</v>
      </c>
      <c r="G3" s="4">
        <v>70000</v>
      </c>
      <c r="H3" s="4" t="s">
        <v>51</v>
      </c>
      <c r="I3" s="4" t="s">
        <v>54</v>
      </c>
      <c r="J3" s="5">
        <v>0.91319444444444453</v>
      </c>
      <c r="K3" s="6">
        <v>0.89861111111111114</v>
      </c>
      <c r="L3" s="5">
        <v>0.67708333333333337</v>
      </c>
      <c r="M3" s="6">
        <v>0.6791666666666667</v>
      </c>
      <c r="N3" s="4" t="s">
        <v>255</v>
      </c>
      <c r="O3" s="4" t="s">
        <v>257</v>
      </c>
      <c r="P3" s="4">
        <v>810</v>
      </c>
      <c r="Q3" s="4">
        <v>948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f t="shared" si="0"/>
        <v>44339</v>
      </c>
      <c r="B4" s="4" t="s">
        <v>21</v>
      </c>
      <c r="C4" s="4" t="s">
        <v>56</v>
      </c>
      <c r="D4" s="4" t="s">
        <v>22</v>
      </c>
      <c r="E4" s="4" t="str">
        <f>E2</f>
        <v>HA-LYK</v>
      </c>
      <c r="F4" s="4" t="s">
        <v>23</v>
      </c>
      <c r="G4" s="4">
        <v>70000</v>
      </c>
      <c r="H4" s="4" t="s">
        <v>58</v>
      </c>
      <c r="I4" s="4" t="s">
        <v>59</v>
      </c>
      <c r="J4" s="5">
        <v>0.90625</v>
      </c>
      <c r="K4" s="6">
        <v>0.9194444444444444</v>
      </c>
      <c r="L4" s="5">
        <v>0.71527777777777779</v>
      </c>
      <c r="M4" s="6">
        <v>0.74583333333333324</v>
      </c>
      <c r="N4" s="4" t="s">
        <v>256</v>
      </c>
      <c r="O4" s="4" t="s">
        <v>258</v>
      </c>
      <c r="P4" s="4">
        <v>961</v>
      </c>
      <c r="Q4" s="4">
        <v>1101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44339</v>
      </c>
      <c r="B5" s="4" t="s">
        <v>97</v>
      </c>
      <c r="C5" s="4" t="s">
        <v>171</v>
      </c>
      <c r="D5" s="4" t="s">
        <v>165</v>
      </c>
      <c r="E5" s="4">
        <v>20169</v>
      </c>
      <c r="F5" s="4" t="s">
        <v>168</v>
      </c>
      <c r="G5" s="4">
        <v>9979</v>
      </c>
      <c r="H5" s="4" t="s">
        <v>204</v>
      </c>
      <c r="I5" s="4" t="str">
        <f>H5</f>
        <v>R20169</v>
      </c>
      <c r="J5" s="4" t="s">
        <v>44</v>
      </c>
      <c r="K5" s="5">
        <v>0.90972222222222221</v>
      </c>
      <c r="L5" s="4" t="s">
        <v>44</v>
      </c>
      <c r="M5" s="6">
        <v>0.5625</v>
      </c>
      <c r="N5" s="4" t="s">
        <v>44</v>
      </c>
      <c r="O5" s="4" t="s">
        <v>44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44339</v>
      </c>
      <c r="B6" s="4" t="s">
        <v>97</v>
      </c>
      <c r="C6" s="4" t="s">
        <v>171</v>
      </c>
      <c r="D6" s="4" t="s">
        <v>165</v>
      </c>
      <c r="E6" s="4">
        <v>20165</v>
      </c>
      <c r="F6" s="4" t="s">
        <v>168</v>
      </c>
      <c r="G6" s="4">
        <v>9979</v>
      </c>
      <c r="H6" s="4" t="s">
        <v>170</v>
      </c>
      <c r="I6" s="4" t="str">
        <f>H6</f>
        <v>R20165</v>
      </c>
      <c r="J6" s="4" t="s">
        <v>44</v>
      </c>
      <c r="K6" s="5">
        <v>0.90972222222222221</v>
      </c>
      <c r="L6" s="4" t="s">
        <v>44</v>
      </c>
      <c r="M6" s="6">
        <v>0.5625</v>
      </c>
      <c r="N6" s="4" t="s">
        <v>44</v>
      </c>
      <c r="O6" s="4" t="s">
        <v>44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/>
      <c r="B7" s="4"/>
      <c r="C7" s="4"/>
      <c r="D7" s="4"/>
      <c r="E7" s="4"/>
      <c r="F7" s="4"/>
      <c r="G7" s="4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U7" sqref="U7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3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44340</v>
      </c>
      <c r="B2" s="4" t="s">
        <v>21</v>
      </c>
      <c r="C2" s="4" t="s">
        <v>65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69</v>
      </c>
      <c r="I2" s="4" t="s">
        <v>73</v>
      </c>
      <c r="J2" s="5">
        <v>0.45833333333333331</v>
      </c>
      <c r="K2" s="6">
        <v>0.4465277777777778</v>
      </c>
      <c r="L2" s="5">
        <v>0.25694444444444448</v>
      </c>
      <c r="M2" s="6">
        <v>0.26458333333333334</v>
      </c>
      <c r="N2" s="4">
        <v>72</v>
      </c>
      <c r="O2" s="4" t="s">
        <v>259</v>
      </c>
      <c r="P2" s="4">
        <v>935</v>
      </c>
      <c r="Q2" s="4">
        <v>668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44340</v>
      </c>
      <c r="B3" s="4" t="s">
        <v>21</v>
      </c>
      <c r="C3" s="4" t="s">
        <v>66</v>
      </c>
      <c r="D3" s="4" t="s">
        <v>22</v>
      </c>
      <c r="E3" s="4" t="s">
        <v>190</v>
      </c>
      <c r="F3" s="4" t="s">
        <v>23</v>
      </c>
      <c r="G3" s="4">
        <v>70000</v>
      </c>
      <c r="H3" s="4" t="s">
        <v>70</v>
      </c>
      <c r="I3" s="4" t="s">
        <v>74</v>
      </c>
      <c r="J3" s="5">
        <v>0.90277777777777779</v>
      </c>
      <c r="K3" s="6">
        <v>0.92847222222222225</v>
      </c>
      <c r="L3" s="5">
        <v>0.46875</v>
      </c>
      <c r="M3" s="6">
        <v>0.49027777777777781</v>
      </c>
      <c r="N3" s="4" t="s">
        <v>267</v>
      </c>
      <c r="O3" s="4" t="s">
        <v>260</v>
      </c>
      <c r="P3" s="4">
        <v>579</v>
      </c>
      <c r="Q3" s="4">
        <v>640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44340</v>
      </c>
      <c r="B4" s="4" t="s">
        <v>21</v>
      </c>
      <c r="C4" s="4" t="s">
        <v>139</v>
      </c>
      <c r="D4" s="4" t="s">
        <v>22</v>
      </c>
      <c r="E4" s="4" t="str">
        <f>E2</f>
        <v>HA-LYK</v>
      </c>
      <c r="F4" s="4" t="s">
        <v>23</v>
      </c>
      <c r="G4" s="4">
        <v>70000</v>
      </c>
      <c r="H4" s="4" t="s">
        <v>141</v>
      </c>
      <c r="I4" s="4" t="s">
        <v>75</v>
      </c>
      <c r="J4" s="5">
        <v>0.71875</v>
      </c>
      <c r="K4" s="6">
        <v>0.75486111111111109</v>
      </c>
      <c r="L4" s="5">
        <v>0.48958333333333331</v>
      </c>
      <c r="M4" s="6">
        <v>0.53333333333333333</v>
      </c>
      <c r="N4" s="4" t="s">
        <v>268</v>
      </c>
      <c r="O4" s="4" t="s">
        <v>261</v>
      </c>
      <c r="P4" s="4">
        <v>316</v>
      </c>
      <c r="Q4" s="4">
        <v>756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44340</v>
      </c>
      <c r="B5" s="4" t="s">
        <v>21</v>
      </c>
      <c r="C5" s="4" t="s">
        <v>68</v>
      </c>
      <c r="D5" s="4" t="s">
        <v>22</v>
      </c>
      <c r="E5" s="4" t="str">
        <f>E4</f>
        <v>HA-LYK</v>
      </c>
      <c r="F5" s="4" t="s">
        <v>23</v>
      </c>
      <c r="G5" s="4">
        <v>70000</v>
      </c>
      <c r="H5" s="4" t="s">
        <v>72</v>
      </c>
      <c r="I5" s="4" t="s">
        <v>142</v>
      </c>
      <c r="J5" s="5">
        <v>0.92013888888888884</v>
      </c>
      <c r="K5" s="6"/>
      <c r="L5" s="5">
        <v>0.73958333333333337</v>
      </c>
      <c r="M5" s="6">
        <v>0.79027777777777775</v>
      </c>
      <c r="N5" s="4" t="s">
        <v>269</v>
      </c>
      <c r="O5" s="4" t="s">
        <v>119</v>
      </c>
      <c r="P5" s="4">
        <v>758</v>
      </c>
      <c r="Q5" s="4">
        <v>940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44340</v>
      </c>
      <c r="B6" s="4" t="s">
        <v>262</v>
      </c>
      <c r="C6" s="4" t="s">
        <v>263</v>
      </c>
      <c r="D6" s="4" t="s">
        <v>264</v>
      </c>
      <c r="E6" s="4" t="s">
        <v>265</v>
      </c>
      <c r="F6" s="4" t="s">
        <v>266</v>
      </c>
      <c r="G6" s="4">
        <v>1500</v>
      </c>
      <c r="H6" s="4" t="s">
        <v>265</v>
      </c>
      <c r="I6" s="4" t="s">
        <v>265</v>
      </c>
      <c r="J6" s="5">
        <v>0.45833333333333331</v>
      </c>
      <c r="K6" s="6">
        <v>0.46111111111111108</v>
      </c>
      <c r="L6" s="5" t="s">
        <v>103</v>
      </c>
      <c r="M6" s="6" t="s">
        <v>103</v>
      </c>
      <c r="N6" s="4">
        <v>2</v>
      </c>
      <c r="O6" s="4" t="s">
        <v>44</v>
      </c>
      <c r="P6" s="4">
        <v>0</v>
      </c>
      <c r="Q6" s="4" t="s">
        <v>44</v>
      </c>
      <c r="R6" s="4">
        <v>0</v>
      </c>
      <c r="S6" s="4" t="s">
        <v>44</v>
      </c>
      <c r="T6" s="4">
        <v>0</v>
      </c>
      <c r="U6" s="4" t="s">
        <v>44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6" sqref="A6:U7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3.28515625" bestFit="1" customWidth="1"/>
    <col min="6" max="6" width="17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373059</v>
      </c>
      <c r="B2" s="15" t="s">
        <v>21</v>
      </c>
      <c r="C2" s="15" t="s">
        <v>27</v>
      </c>
      <c r="D2" s="15" t="s">
        <v>22</v>
      </c>
      <c r="E2" s="15" t="s">
        <v>270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0.4375</v>
      </c>
      <c r="K2" s="17">
        <v>0.42499999999999999</v>
      </c>
      <c r="L2" s="16">
        <v>0.27083333333333331</v>
      </c>
      <c r="M2" s="17">
        <v>0.27013888888888887</v>
      </c>
      <c r="N2" s="15" t="s">
        <v>271</v>
      </c>
      <c r="O2" s="15" t="s">
        <v>211</v>
      </c>
      <c r="P2" s="15">
        <v>384</v>
      </c>
      <c r="Q2" s="15">
        <v>589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44341</v>
      </c>
      <c r="B3" s="15" t="s">
        <v>21</v>
      </c>
      <c r="C3" s="15" t="s">
        <v>30</v>
      </c>
      <c r="D3" s="15" t="s">
        <v>22</v>
      </c>
      <c r="E3" s="15" t="str">
        <f>E2</f>
        <v>HA-LWP</v>
      </c>
      <c r="F3" s="15" t="s">
        <v>23</v>
      </c>
      <c r="G3" s="15">
        <v>70000</v>
      </c>
      <c r="H3" s="15" t="s">
        <v>31</v>
      </c>
      <c r="I3" s="15" t="s">
        <v>32</v>
      </c>
      <c r="J3" s="16">
        <v>0.67361111111111116</v>
      </c>
      <c r="K3" s="17">
        <v>0.65763888888888888</v>
      </c>
      <c r="L3" s="16">
        <v>0.46875</v>
      </c>
      <c r="M3" s="17">
        <v>0.47083333333333338</v>
      </c>
      <c r="N3" s="15" t="s">
        <v>274</v>
      </c>
      <c r="O3" s="15" t="s">
        <v>273</v>
      </c>
      <c r="P3" s="15">
        <v>265</v>
      </c>
      <c r="Q3" s="15">
        <v>557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44341</v>
      </c>
      <c r="B4" s="15" t="s">
        <v>21</v>
      </c>
      <c r="C4" s="15" t="s">
        <v>24</v>
      </c>
      <c r="D4" s="15" t="s">
        <v>22</v>
      </c>
      <c r="E4" s="15" t="s">
        <v>34</v>
      </c>
      <c r="F4" s="15" t="s">
        <v>23</v>
      </c>
      <c r="G4" s="15">
        <v>70000</v>
      </c>
      <c r="H4" s="15" t="s">
        <v>26</v>
      </c>
      <c r="I4" s="15" t="s">
        <v>25</v>
      </c>
      <c r="J4" s="16">
        <v>0.95486111111111116</v>
      </c>
      <c r="K4" s="17">
        <v>0.94236111111111109</v>
      </c>
      <c r="L4" s="16">
        <v>0.60069444444444442</v>
      </c>
      <c r="M4" s="17">
        <v>0.61736111111111114</v>
      </c>
      <c r="N4" s="15" t="s">
        <v>205</v>
      </c>
      <c r="O4" s="15" t="s">
        <v>272</v>
      </c>
      <c r="P4" s="15">
        <v>858</v>
      </c>
      <c r="Q4" s="15">
        <v>934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44341</v>
      </c>
      <c r="B5" s="15" t="s">
        <v>21</v>
      </c>
      <c r="C5" s="15" t="s">
        <v>275</v>
      </c>
      <c r="D5" s="15" t="s">
        <v>22</v>
      </c>
      <c r="E5" s="4" t="s">
        <v>276</v>
      </c>
      <c r="F5" s="15" t="s">
        <v>277</v>
      </c>
      <c r="G5" s="15">
        <v>70000</v>
      </c>
      <c r="H5" s="4" t="s">
        <v>278</v>
      </c>
      <c r="I5" s="4" t="s">
        <v>278</v>
      </c>
      <c r="J5" s="5">
        <v>0.71875</v>
      </c>
      <c r="K5" s="6">
        <v>0.71944444444444444</v>
      </c>
      <c r="L5" s="5">
        <v>0.77777777777777779</v>
      </c>
      <c r="M5" s="6">
        <v>0.78333333333333333</v>
      </c>
      <c r="N5" s="4" t="s">
        <v>279</v>
      </c>
      <c r="O5" s="4" t="s">
        <v>45</v>
      </c>
      <c r="P5" s="4">
        <v>494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44341</v>
      </c>
      <c r="B6" s="4" t="s">
        <v>97</v>
      </c>
      <c r="C6" s="4" t="s">
        <v>171</v>
      </c>
      <c r="D6" s="4" t="s">
        <v>165</v>
      </c>
      <c r="E6" s="4">
        <v>26266</v>
      </c>
      <c r="F6" s="4" t="s">
        <v>168</v>
      </c>
      <c r="G6" s="4">
        <v>9979</v>
      </c>
      <c r="H6" s="4" t="s">
        <v>201</v>
      </c>
      <c r="I6" s="4" t="str">
        <f>H6</f>
        <v>R26266</v>
      </c>
      <c r="J6" s="5"/>
      <c r="K6" s="6">
        <v>0.72777777777777775</v>
      </c>
      <c r="L6" s="5"/>
      <c r="M6" s="6">
        <v>0.41319444444444442</v>
      </c>
      <c r="N6" s="4" t="s">
        <v>44</v>
      </c>
      <c r="O6" s="4" t="s">
        <v>44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/>
      <c r="B7" s="4"/>
      <c r="C7" s="4"/>
      <c r="D7" s="4"/>
      <c r="E7" s="4"/>
      <c r="F7" s="4"/>
      <c r="G7" s="4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3" sqref="K3"/>
    </sheetView>
  </sheetViews>
  <sheetFormatPr defaultRowHeight="15" x14ac:dyDescent="0.25"/>
  <cols>
    <col min="1" max="1" width="10.140625" bestFit="1" customWidth="1"/>
    <col min="2" max="2" width="9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44342</v>
      </c>
      <c r="B2" s="4" t="s">
        <v>21</v>
      </c>
      <c r="C2" s="4" t="s">
        <v>66</v>
      </c>
      <c r="D2" s="4" t="s">
        <v>22</v>
      </c>
      <c r="E2" s="4" t="s">
        <v>270</v>
      </c>
      <c r="F2" s="4" t="s">
        <v>23</v>
      </c>
      <c r="G2" s="4">
        <v>70000</v>
      </c>
      <c r="H2" s="4" t="s">
        <v>70</v>
      </c>
      <c r="I2" s="4" t="s">
        <v>74</v>
      </c>
      <c r="J2" s="5">
        <v>0.65972222222222221</v>
      </c>
      <c r="K2" s="6">
        <v>0.65</v>
      </c>
      <c r="L2" s="5">
        <v>0.47569444444444442</v>
      </c>
      <c r="M2" s="6">
        <v>0.47500000000000003</v>
      </c>
      <c r="N2" s="4" t="s">
        <v>280</v>
      </c>
      <c r="O2" s="4" t="s">
        <v>261</v>
      </c>
      <c r="P2" s="4">
        <v>537</v>
      </c>
      <c r="Q2" s="4">
        <v>916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44342</v>
      </c>
      <c r="B3" s="4" t="s">
        <v>21</v>
      </c>
      <c r="C3" s="4" t="s">
        <v>48</v>
      </c>
      <c r="D3" s="4" t="s">
        <v>22</v>
      </c>
      <c r="E3" s="4" t="s">
        <v>270</v>
      </c>
      <c r="F3" s="4" t="s">
        <v>23</v>
      </c>
      <c r="G3" s="4">
        <v>70000</v>
      </c>
      <c r="H3" s="4" t="s">
        <v>51</v>
      </c>
      <c r="I3" s="4" t="s">
        <v>54</v>
      </c>
      <c r="J3" s="5">
        <v>0.91319444444444453</v>
      </c>
      <c r="K3" s="6">
        <v>0.9</v>
      </c>
      <c r="L3" s="5">
        <v>0.68055555555555547</v>
      </c>
      <c r="M3" s="6">
        <v>0.68680555555555556</v>
      </c>
      <c r="N3" s="4" t="s">
        <v>282</v>
      </c>
      <c r="O3" s="4" t="s">
        <v>281</v>
      </c>
      <c r="P3" s="4">
        <v>943</v>
      </c>
      <c r="Q3" s="4">
        <v>692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44342</v>
      </c>
      <c r="B4" s="4" t="s">
        <v>97</v>
      </c>
      <c r="C4" s="4" t="s">
        <v>171</v>
      </c>
      <c r="D4" s="4" t="s">
        <v>165</v>
      </c>
      <c r="E4" s="4">
        <v>26266</v>
      </c>
      <c r="F4" s="4" t="s">
        <v>168</v>
      </c>
      <c r="G4" s="4">
        <v>9979</v>
      </c>
      <c r="H4" s="4" t="s">
        <v>201</v>
      </c>
      <c r="I4" s="4" t="str">
        <f>H4</f>
        <v>R26266</v>
      </c>
      <c r="J4" s="5"/>
      <c r="K4" s="6">
        <v>0.63611111111111118</v>
      </c>
      <c r="L4" s="5"/>
      <c r="M4" s="6">
        <v>0.41805555555555557</v>
      </c>
      <c r="N4" s="4" t="s">
        <v>44</v>
      </c>
      <c r="O4" s="4" t="s">
        <v>44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/>
      <c r="B5" s="4"/>
      <c r="C5" s="4"/>
      <c r="D5" s="4"/>
      <c r="E5" s="4"/>
      <c r="F5" s="4"/>
      <c r="G5" s="4"/>
      <c r="H5" s="4"/>
      <c r="I5" s="4"/>
      <c r="J5" s="5"/>
      <c r="K5" s="6"/>
      <c r="L5" s="5"/>
      <c r="M5" s="6"/>
      <c r="N5" s="4"/>
      <c r="O5" s="4"/>
      <c r="P5" s="4"/>
      <c r="Q5" s="4"/>
      <c r="R5" s="4"/>
      <c r="S5" s="4"/>
      <c r="T5" s="4"/>
      <c r="U5" s="4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3" sqref="K3"/>
    </sheetView>
  </sheetViews>
  <sheetFormatPr defaultRowHeight="15" x14ac:dyDescent="0.25"/>
  <cols>
    <col min="1" max="1" width="10.140625" bestFit="1" customWidth="1"/>
    <col min="2" max="2" width="20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44343</v>
      </c>
      <c r="B2" s="4" t="s">
        <v>21</v>
      </c>
      <c r="C2" s="4" t="s">
        <v>27</v>
      </c>
      <c r="D2" s="4" t="s">
        <v>22</v>
      </c>
      <c r="E2" s="4" t="s">
        <v>34</v>
      </c>
      <c r="F2" s="4" t="s">
        <v>23</v>
      </c>
      <c r="G2" s="4">
        <v>70000</v>
      </c>
      <c r="H2" s="4" t="s">
        <v>28</v>
      </c>
      <c r="I2" s="4" t="s">
        <v>29</v>
      </c>
      <c r="J2" s="5">
        <v>0.875</v>
      </c>
      <c r="K2" s="6">
        <v>0.85763888888888884</v>
      </c>
      <c r="L2" s="5">
        <v>0.70833333333333337</v>
      </c>
      <c r="M2" s="6">
        <v>0.70486111111111116</v>
      </c>
      <c r="N2" s="4" t="s">
        <v>288</v>
      </c>
      <c r="O2" s="4" t="s">
        <v>283</v>
      </c>
      <c r="P2" s="4">
        <v>487</v>
      </c>
      <c r="Q2" s="4">
        <v>358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44343</v>
      </c>
      <c r="B3" s="4" t="s">
        <v>21</v>
      </c>
      <c r="C3" s="4" t="s">
        <v>24</v>
      </c>
      <c r="D3" s="4" t="s">
        <v>22</v>
      </c>
      <c r="E3" s="4" t="s">
        <v>270</v>
      </c>
      <c r="F3" s="4" t="s">
        <v>23</v>
      </c>
      <c r="G3" s="4">
        <v>70000</v>
      </c>
      <c r="H3" s="4" t="s">
        <v>25</v>
      </c>
      <c r="I3" s="4" t="s">
        <v>26</v>
      </c>
      <c r="J3" s="5">
        <v>0.94097222222222221</v>
      </c>
      <c r="K3" s="6">
        <v>0.9194444444444444</v>
      </c>
      <c r="L3" s="5">
        <v>0.79513888888888884</v>
      </c>
      <c r="M3" s="6">
        <v>0.7909722222222223</v>
      </c>
      <c r="N3" s="4" t="s">
        <v>96</v>
      </c>
      <c r="O3" s="4" t="s">
        <v>287</v>
      </c>
      <c r="P3" s="4">
        <v>734</v>
      </c>
      <c r="Q3" s="4">
        <v>473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44343</v>
      </c>
      <c r="B4" s="4" t="s">
        <v>97</v>
      </c>
      <c r="C4" s="4" t="s">
        <v>169</v>
      </c>
      <c r="D4" s="4" t="s">
        <v>165</v>
      </c>
      <c r="E4" s="4">
        <v>20169</v>
      </c>
      <c r="F4" s="4" t="s">
        <v>168</v>
      </c>
      <c r="G4" s="4">
        <v>9979</v>
      </c>
      <c r="H4" s="4" t="s">
        <v>204</v>
      </c>
      <c r="I4" s="4" t="str">
        <f>H4</f>
        <v>R20169</v>
      </c>
      <c r="J4" s="4" t="s">
        <v>44</v>
      </c>
      <c r="K4" s="5"/>
      <c r="L4" s="4" t="s">
        <v>44</v>
      </c>
      <c r="M4" s="6">
        <v>0.35972222222222222</v>
      </c>
      <c r="N4" s="4" t="s">
        <v>44</v>
      </c>
      <c r="O4" s="4" t="s">
        <v>44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44343</v>
      </c>
      <c r="B5" s="4" t="s">
        <v>97</v>
      </c>
      <c r="C5" s="4" t="s">
        <v>169</v>
      </c>
      <c r="D5" s="4" t="s">
        <v>165</v>
      </c>
      <c r="E5" s="4">
        <v>20165</v>
      </c>
      <c r="F5" s="4" t="s">
        <v>168</v>
      </c>
      <c r="G5" s="4">
        <v>9979</v>
      </c>
      <c r="H5" s="4" t="s">
        <v>170</v>
      </c>
      <c r="I5" s="4" t="str">
        <f>H5</f>
        <v>R20165</v>
      </c>
      <c r="J5" s="4" t="s">
        <v>44</v>
      </c>
      <c r="K5" s="5"/>
      <c r="L5" s="6">
        <v>0.375</v>
      </c>
      <c r="M5" s="6">
        <v>0.35972222222222222</v>
      </c>
      <c r="N5" s="4" t="s">
        <v>44</v>
      </c>
      <c r="O5" s="4" t="s">
        <v>44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44343</v>
      </c>
      <c r="B6" s="4" t="s">
        <v>286</v>
      </c>
      <c r="C6" s="4" t="s">
        <v>171</v>
      </c>
      <c r="D6" s="4" t="s">
        <v>284</v>
      </c>
      <c r="E6" s="4" t="s">
        <v>265</v>
      </c>
      <c r="F6" s="4" t="s">
        <v>285</v>
      </c>
      <c r="G6" s="4">
        <v>1500</v>
      </c>
      <c r="H6" s="4" t="s">
        <v>265</v>
      </c>
      <c r="I6" s="4" t="s">
        <v>265</v>
      </c>
      <c r="J6" s="6"/>
      <c r="K6" s="6"/>
      <c r="L6" s="6">
        <v>0.66666666666666663</v>
      </c>
      <c r="M6" s="6">
        <v>0.70138888888888884</v>
      </c>
      <c r="N6" s="4">
        <v>2</v>
      </c>
      <c r="O6" s="4">
        <v>2</v>
      </c>
      <c r="P6" s="4"/>
      <c r="Q6" s="4"/>
      <c r="R6" s="4"/>
      <c r="S6" s="4"/>
      <c r="T6" s="4"/>
      <c r="U6" s="4"/>
    </row>
    <row r="7" spans="1:21" s="4" customFormat="1" ht="12.75" x14ac:dyDescent="0.2">
      <c r="A7" s="3">
        <v>44343</v>
      </c>
      <c r="B7" s="4" t="s">
        <v>97</v>
      </c>
      <c r="C7" s="4" t="s">
        <v>171</v>
      </c>
      <c r="D7" s="4" t="s">
        <v>165</v>
      </c>
      <c r="E7" s="4">
        <v>26266</v>
      </c>
      <c r="F7" s="4" t="s">
        <v>168</v>
      </c>
      <c r="G7" s="4">
        <v>9979</v>
      </c>
      <c r="H7" s="4" t="s">
        <v>201</v>
      </c>
      <c r="I7" s="4" t="s">
        <v>201</v>
      </c>
      <c r="K7" s="6">
        <v>0.67638888888888893</v>
      </c>
      <c r="M7" s="6">
        <v>0.33194444444444443</v>
      </c>
      <c r="N7" s="4" t="s">
        <v>44</v>
      </c>
      <c r="O7" s="4" t="s">
        <v>44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5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44344</v>
      </c>
      <c r="B2" s="15" t="s">
        <v>21</v>
      </c>
      <c r="C2" s="15" t="s">
        <v>65</v>
      </c>
      <c r="D2" s="15" t="s">
        <v>22</v>
      </c>
      <c r="E2" s="15" t="s">
        <v>34</v>
      </c>
      <c r="F2" s="15" t="s">
        <v>23</v>
      </c>
      <c r="G2" s="15">
        <v>70000</v>
      </c>
      <c r="H2" s="15" t="s">
        <v>69</v>
      </c>
      <c r="I2" s="15" t="s">
        <v>73</v>
      </c>
      <c r="J2" s="16">
        <v>0.45833333333333331</v>
      </c>
      <c r="K2" s="17">
        <v>0.43888888888888888</v>
      </c>
      <c r="L2" s="16">
        <v>0.25694444444444448</v>
      </c>
      <c r="M2" s="17">
        <v>0.25972222222222224</v>
      </c>
      <c r="N2" s="15" t="s">
        <v>290</v>
      </c>
      <c r="O2" s="15" t="s">
        <v>289</v>
      </c>
      <c r="P2" s="15">
        <v>850</v>
      </c>
      <c r="Q2" s="15">
        <v>473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44344</v>
      </c>
      <c r="B3" s="15" t="s">
        <v>21</v>
      </c>
      <c r="C3" s="15" t="s">
        <v>66</v>
      </c>
      <c r="D3" s="15" t="s">
        <v>22</v>
      </c>
      <c r="E3" s="15" t="s">
        <v>270</v>
      </c>
      <c r="F3" s="15" t="s">
        <v>23</v>
      </c>
      <c r="G3" s="15">
        <v>70000</v>
      </c>
      <c r="H3" s="15" t="s">
        <v>70</v>
      </c>
      <c r="I3" s="15" t="s">
        <v>74</v>
      </c>
      <c r="J3" s="16">
        <v>0.92361111111111116</v>
      </c>
      <c r="K3" s="17">
        <v>0.95416666666666661</v>
      </c>
      <c r="L3" s="16">
        <v>0.48958333333333331</v>
      </c>
      <c r="M3" s="17">
        <v>0.49861111111111112</v>
      </c>
      <c r="N3" s="15" t="s">
        <v>295</v>
      </c>
      <c r="O3" s="15" t="s">
        <v>291</v>
      </c>
      <c r="P3" s="15">
        <v>936</v>
      </c>
      <c r="Q3" s="15">
        <v>730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44344</v>
      </c>
      <c r="B4" s="15" t="s">
        <v>21</v>
      </c>
      <c r="C4" s="15" t="s">
        <v>67</v>
      </c>
      <c r="D4" s="15" t="s">
        <v>22</v>
      </c>
      <c r="E4" s="15" t="str">
        <f>E2</f>
        <v>HA-LYK</v>
      </c>
      <c r="F4" s="15" t="s">
        <v>23</v>
      </c>
      <c r="G4" s="15">
        <v>70000</v>
      </c>
      <c r="H4" s="15" t="s">
        <v>141</v>
      </c>
      <c r="I4" s="15" t="s">
        <v>75</v>
      </c>
      <c r="J4" s="16">
        <v>0.72569444444444453</v>
      </c>
      <c r="K4" s="17">
        <v>0.71180555555555547</v>
      </c>
      <c r="L4" s="16">
        <v>0.49652777777777773</v>
      </c>
      <c r="M4" s="17">
        <v>0.50416666666666665</v>
      </c>
      <c r="N4" s="15" t="s">
        <v>293</v>
      </c>
      <c r="O4" s="15" t="s">
        <v>292</v>
      </c>
      <c r="P4" s="15">
        <v>637</v>
      </c>
      <c r="Q4" s="15">
        <v>613</v>
      </c>
      <c r="R4" s="4">
        <v>0</v>
      </c>
      <c r="S4" s="4">
        <v>0</v>
      </c>
      <c r="T4" s="4">
        <v>0</v>
      </c>
      <c r="U4" s="4">
        <v>0</v>
      </c>
    </row>
    <row r="5" spans="1:21" s="9" customFormat="1" x14ac:dyDescent="0.25">
      <c r="A5" s="3">
        <v>44344</v>
      </c>
      <c r="B5" s="15" t="s">
        <v>21</v>
      </c>
      <c r="C5" s="15" t="s">
        <v>68</v>
      </c>
      <c r="D5" s="15" t="s">
        <v>22</v>
      </c>
      <c r="E5" s="4" t="s">
        <v>34</v>
      </c>
      <c r="F5" s="4" t="s">
        <v>23</v>
      </c>
      <c r="G5" s="4">
        <v>70000</v>
      </c>
      <c r="H5" s="15" t="s">
        <v>72</v>
      </c>
      <c r="I5" s="15" t="s">
        <v>142</v>
      </c>
      <c r="J5" s="5">
        <v>0.94791666666666663</v>
      </c>
      <c r="K5" s="6">
        <v>0.93819444444444444</v>
      </c>
      <c r="L5" s="5">
        <v>0.75694444444444453</v>
      </c>
      <c r="M5" s="6">
        <v>0.76458333333333339</v>
      </c>
      <c r="N5" s="4" t="s">
        <v>296</v>
      </c>
      <c r="O5" s="4" t="s">
        <v>294</v>
      </c>
      <c r="P5" s="4">
        <v>870</v>
      </c>
      <c r="Q5" s="4">
        <v>826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/>
      <c r="B6" s="15"/>
      <c r="C6" s="15"/>
      <c r="D6" s="15"/>
      <c r="E6" s="4"/>
      <c r="F6" s="15"/>
      <c r="G6" s="15"/>
      <c r="H6" s="4"/>
      <c r="I6" s="4"/>
      <c r="J6" s="5"/>
      <c r="K6" s="6"/>
      <c r="L6" s="5"/>
      <c r="M6" s="6"/>
      <c r="N6" s="4"/>
      <c r="O6" s="4"/>
      <c r="P6" s="4"/>
      <c r="Q6" s="4"/>
      <c r="R6" s="4"/>
      <c r="S6" s="4"/>
      <c r="T6" s="4"/>
      <c r="U6" s="4"/>
    </row>
    <row r="7" spans="1:21" x14ac:dyDescent="0.25">
      <c r="A7" s="3"/>
      <c r="B7" s="4"/>
      <c r="C7" s="4"/>
      <c r="D7" s="4"/>
      <c r="E7" s="4"/>
      <c r="F7" s="4"/>
      <c r="G7" s="4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P11" sqref="P11"/>
    </sheetView>
  </sheetViews>
  <sheetFormatPr defaultRowHeight="15" x14ac:dyDescent="0.25"/>
  <cols>
    <col min="1" max="1" width="8.7109375" bestFit="1" customWidth="1"/>
    <col min="2" max="2" width="18.7109375" bestFit="1" customWidth="1"/>
    <col min="3" max="3" width="13.28515625" bestFit="1" customWidth="1"/>
    <col min="6" max="6" width="14.710937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44345</v>
      </c>
      <c r="B2" s="15" t="s">
        <v>21</v>
      </c>
      <c r="C2" s="15" t="s">
        <v>27</v>
      </c>
      <c r="D2" s="15" t="s">
        <v>22</v>
      </c>
      <c r="E2" s="15" t="s">
        <v>270</v>
      </c>
      <c r="F2" s="15" t="s">
        <v>23</v>
      </c>
      <c r="G2" s="15">
        <v>70000</v>
      </c>
      <c r="H2" s="15" t="s">
        <v>28</v>
      </c>
      <c r="I2" s="15" t="s">
        <v>29</v>
      </c>
      <c r="J2" s="16">
        <v>0.4375</v>
      </c>
      <c r="K2" s="17">
        <v>0.46527777777777773</v>
      </c>
      <c r="L2" s="16">
        <v>0.27083333333333331</v>
      </c>
      <c r="M2" s="17">
        <v>0.31458333333333333</v>
      </c>
      <c r="N2" s="15" t="s">
        <v>303</v>
      </c>
      <c r="O2" s="15" t="s">
        <v>297</v>
      </c>
      <c r="P2" s="15">
        <v>987</v>
      </c>
      <c r="Q2" s="15">
        <v>946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44345</v>
      </c>
      <c r="B3" s="15" t="s">
        <v>21</v>
      </c>
      <c r="C3" s="15" t="s">
        <v>24</v>
      </c>
      <c r="D3" s="15" t="s">
        <v>22</v>
      </c>
      <c r="E3" s="15" t="s">
        <v>34</v>
      </c>
      <c r="F3" s="15" t="s">
        <v>23</v>
      </c>
      <c r="G3" s="15">
        <v>70000</v>
      </c>
      <c r="H3" s="15" t="s">
        <v>26</v>
      </c>
      <c r="I3" s="15" t="s">
        <v>25</v>
      </c>
      <c r="J3" s="16">
        <v>0.70486111111111116</v>
      </c>
      <c r="K3" s="17">
        <v>0.71875</v>
      </c>
      <c r="L3" s="16">
        <v>0.35069444444444442</v>
      </c>
      <c r="M3" s="17">
        <v>0.37083333333333335</v>
      </c>
      <c r="N3" s="15" t="s">
        <v>147</v>
      </c>
      <c r="O3" s="15" t="s">
        <v>302</v>
      </c>
      <c r="P3" s="15">
        <v>892</v>
      </c>
      <c r="Q3" s="15">
        <v>923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44345</v>
      </c>
      <c r="B4" s="15" t="s">
        <v>21</v>
      </c>
      <c r="C4" s="15" t="s">
        <v>30</v>
      </c>
      <c r="D4" s="15" t="s">
        <v>22</v>
      </c>
      <c r="E4" s="15" t="str">
        <f>E2</f>
        <v>HA-LWP</v>
      </c>
      <c r="F4" s="15" t="s">
        <v>23</v>
      </c>
      <c r="G4" s="15">
        <v>70000</v>
      </c>
      <c r="H4" s="15" t="s">
        <v>32</v>
      </c>
      <c r="I4" s="15" t="s">
        <v>31</v>
      </c>
      <c r="J4" s="16">
        <v>0.67361111111111116</v>
      </c>
      <c r="K4" s="17">
        <v>0.68541666666666667</v>
      </c>
      <c r="L4" s="16">
        <v>0.46875</v>
      </c>
      <c r="M4" s="17">
        <v>0.50208333333333333</v>
      </c>
      <c r="N4" s="15" t="s">
        <v>305</v>
      </c>
      <c r="O4" s="15" t="s">
        <v>304</v>
      </c>
      <c r="P4" s="15">
        <v>408</v>
      </c>
      <c r="Q4" s="15">
        <v>575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22">
        <v>44345</v>
      </c>
      <c r="B5" s="4" t="s">
        <v>286</v>
      </c>
      <c r="C5" s="4" t="s">
        <v>298</v>
      </c>
      <c r="D5" s="4" t="s">
        <v>299</v>
      </c>
      <c r="E5" s="4" t="s">
        <v>265</v>
      </c>
      <c r="F5" s="4" t="s">
        <v>300</v>
      </c>
      <c r="G5" s="4">
        <v>1500</v>
      </c>
      <c r="H5" s="4" t="s">
        <v>44</v>
      </c>
      <c r="I5" s="4" t="str">
        <f>E5</f>
        <v>N6509Z</v>
      </c>
      <c r="J5" s="5" t="s">
        <v>44</v>
      </c>
      <c r="K5" s="6" t="s">
        <v>44</v>
      </c>
      <c r="L5" s="5">
        <v>0.41666666666666669</v>
      </c>
      <c r="M5" s="6">
        <v>0.40208333333333335</v>
      </c>
      <c r="N5" s="4" t="s">
        <v>44</v>
      </c>
      <c r="O5" s="4" t="s">
        <v>301</v>
      </c>
      <c r="P5" s="4" t="s">
        <v>44</v>
      </c>
      <c r="Q5" s="4">
        <v>0</v>
      </c>
      <c r="R5" s="4" t="s">
        <v>44</v>
      </c>
      <c r="S5" s="4">
        <v>0</v>
      </c>
      <c r="T5" s="4" t="s">
        <v>44</v>
      </c>
      <c r="U5" s="4">
        <v>0</v>
      </c>
    </row>
    <row r="6" spans="1:21" x14ac:dyDescent="0.25">
      <c r="A6" s="22"/>
      <c r="B6" s="4"/>
      <c r="C6" s="4"/>
      <c r="D6" s="4"/>
      <c r="E6" s="4"/>
      <c r="F6" s="4"/>
      <c r="G6" s="4"/>
      <c r="H6" s="4"/>
      <c r="I6" s="4"/>
      <c r="J6" s="5"/>
      <c r="K6" s="6"/>
      <c r="L6" s="5"/>
      <c r="M6" s="6"/>
      <c r="N6" s="4"/>
      <c r="O6" s="4"/>
      <c r="P6" s="4"/>
      <c r="Q6" s="4"/>
      <c r="R6" s="4"/>
      <c r="S6" s="4"/>
      <c r="T6" s="4"/>
      <c r="U6" s="4"/>
    </row>
    <row r="7" spans="1:21" x14ac:dyDescent="0.25">
      <c r="A7" s="22"/>
      <c r="B7" s="4"/>
      <c r="C7" s="4"/>
      <c r="D7" s="4"/>
      <c r="E7" s="4"/>
      <c r="F7" s="4"/>
      <c r="G7" s="4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22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13" sqref="K13"/>
    </sheetView>
  </sheetViews>
  <sheetFormatPr defaultRowHeight="15" x14ac:dyDescent="0.25"/>
  <cols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44346</v>
      </c>
      <c r="B2" s="15" t="s">
        <v>21</v>
      </c>
      <c r="C2" s="15" t="s">
        <v>49</v>
      </c>
      <c r="D2" s="15" t="s">
        <v>22</v>
      </c>
      <c r="E2" s="15" t="s">
        <v>34</v>
      </c>
      <c r="F2" s="15" t="s">
        <v>23</v>
      </c>
      <c r="G2" s="15">
        <v>70000</v>
      </c>
      <c r="H2" s="15" t="s">
        <v>53</v>
      </c>
      <c r="I2" s="15" t="s">
        <v>52</v>
      </c>
      <c r="J2" s="16">
        <v>0.69444444444444453</v>
      </c>
      <c r="K2" s="17">
        <v>0.70347222222222217</v>
      </c>
      <c r="L2" s="16">
        <v>0.51736111111111105</v>
      </c>
      <c r="M2" s="17">
        <v>0.53055555555555556</v>
      </c>
      <c r="N2" s="15" t="s">
        <v>307</v>
      </c>
      <c r="O2" s="15" t="s">
        <v>306</v>
      </c>
      <c r="P2" s="15">
        <v>684</v>
      </c>
      <c r="Q2" s="15">
        <v>863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44346</v>
      </c>
      <c r="B3" s="15" t="s">
        <v>21</v>
      </c>
      <c r="C3" s="15" t="s">
        <v>48</v>
      </c>
      <c r="D3" s="15" t="s">
        <v>22</v>
      </c>
      <c r="E3" s="15" t="s">
        <v>270</v>
      </c>
      <c r="F3" s="15" t="s">
        <v>23</v>
      </c>
      <c r="G3" s="15">
        <v>70000</v>
      </c>
      <c r="H3" s="15" t="s">
        <v>54</v>
      </c>
      <c r="I3" s="15" t="s">
        <v>51</v>
      </c>
      <c r="J3" s="16">
        <v>0.91319444444444453</v>
      </c>
      <c r="K3" s="17">
        <v>0.8965277777777777</v>
      </c>
      <c r="L3" s="16">
        <v>0.67708333333333337</v>
      </c>
      <c r="M3" s="17">
        <v>0.68055555555555547</v>
      </c>
      <c r="N3" s="15" t="s">
        <v>310</v>
      </c>
      <c r="O3" s="15" t="s">
        <v>308</v>
      </c>
      <c r="P3" s="15">
        <v>933</v>
      </c>
      <c r="Q3" s="15">
        <v>815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4">
        <v>44346</v>
      </c>
      <c r="B4" s="15" t="s">
        <v>21</v>
      </c>
      <c r="C4" s="15" t="s">
        <v>56</v>
      </c>
      <c r="D4" s="15" t="s">
        <v>22</v>
      </c>
      <c r="E4" s="15" t="str">
        <f>E2</f>
        <v>HA-LYK</v>
      </c>
      <c r="F4" s="15" t="s">
        <v>23</v>
      </c>
      <c r="G4" s="15">
        <v>70000</v>
      </c>
      <c r="H4" s="15" t="s">
        <v>59</v>
      </c>
      <c r="I4" s="15" t="s">
        <v>58</v>
      </c>
      <c r="J4" s="16">
        <v>0.90625</v>
      </c>
      <c r="K4" s="17">
        <v>0.91180555555555554</v>
      </c>
      <c r="L4" s="16">
        <v>0.71527777777777779</v>
      </c>
      <c r="M4" s="17">
        <v>0.73541666666666661</v>
      </c>
      <c r="N4" s="15" t="s">
        <v>311</v>
      </c>
      <c r="O4" s="15" t="s">
        <v>309</v>
      </c>
      <c r="P4" s="15">
        <v>1021</v>
      </c>
      <c r="Q4" s="15">
        <v>827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/>
      <c r="B5" s="15"/>
      <c r="C5" s="15"/>
      <c r="D5" s="15"/>
      <c r="E5" s="4"/>
      <c r="F5" s="4"/>
      <c r="G5" s="4"/>
      <c r="H5" s="15"/>
      <c r="I5" s="15"/>
      <c r="J5" s="5"/>
      <c r="K5" s="6"/>
      <c r="L5" s="5"/>
      <c r="M5" s="6"/>
      <c r="N5" s="4"/>
      <c r="O5" s="4"/>
      <c r="P5" s="4"/>
      <c r="Q5" s="4"/>
      <c r="R5" s="4"/>
      <c r="S5" s="4"/>
      <c r="T5" s="4"/>
      <c r="U5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C1" workbookViewId="0">
      <selection activeCell="P5" sqref="P5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3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44347</v>
      </c>
      <c r="B2" s="4" t="s">
        <v>21</v>
      </c>
      <c r="C2" s="4" t="s">
        <v>65</v>
      </c>
      <c r="D2" s="4" t="s">
        <v>22</v>
      </c>
      <c r="E2" s="4" t="s">
        <v>270</v>
      </c>
      <c r="F2" s="4" t="s">
        <v>23</v>
      </c>
      <c r="G2" s="4">
        <v>70000</v>
      </c>
      <c r="H2" s="4" t="s">
        <v>69</v>
      </c>
      <c r="I2" s="4" t="s">
        <v>73</v>
      </c>
      <c r="J2" s="5">
        <v>0.45833333333333331</v>
      </c>
      <c r="K2" s="6">
        <v>0.43958333333333338</v>
      </c>
      <c r="L2" s="5">
        <v>0.25694444444444448</v>
      </c>
      <c r="M2" s="6">
        <v>0.25555555555555559</v>
      </c>
      <c r="N2" s="6" t="s">
        <v>313</v>
      </c>
      <c r="O2" s="4" t="s">
        <v>312</v>
      </c>
      <c r="P2" s="4">
        <v>391</v>
      </c>
      <c r="Q2" s="4">
        <v>744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44347</v>
      </c>
      <c r="B3" s="4" t="s">
        <v>21</v>
      </c>
      <c r="C3" s="4" t="s">
        <v>66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70</v>
      </c>
      <c r="I3" s="4" t="s">
        <v>74</v>
      </c>
      <c r="J3" s="5">
        <v>0.90277777777777779</v>
      </c>
      <c r="K3" s="6">
        <v>0.90277777777777779</v>
      </c>
      <c r="L3" s="5">
        <v>0.46875</v>
      </c>
      <c r="M3" s="6">
        <v>0.47638888888888892</v>
      </c>
      <c r="N3" s="4" t="s">
        <v>317</v>
      </c>
      <c r="O3" s="4" t="s">
        <v>315</v>
      </c>
      <c r="P3" s="4">
        <v>623</v>
      </c>
      <c r="Q3" s="4">
        <v>819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44347</v>
      </c>
      <c r="B4" s="4" t="s">
        <v>21</v>
      </c>
      <c r="C4" s="4" t="s">
        <v>139</v>
      </c>
      <c r="D4" s="4" t="s">
        <v>22</v>
      </c>
      <c r="E4" s="4" t="str">
        <f>E2</f>
        <v>HA-LWP</v>
      </c>
      <c r="F4" s="4" t="s">
        <v>23</v>
      </c>
      <c r="G4" s="4">
        <v>70000</v>
      </c>
      <c r="H4" s="4" t="s">
        <v>141</v>
      </c>
      <c r="I4" s="4" t="s">
        <v>75</v>
      </c>
      <c r="J4" s="5">
        <v>0.71875</v>
      </c>
      <c r="K4" s="6">
        <v>0.7055555555555556</v>
      </c>
      <c r="L4" s="5">
        <v>0.48958333333333331</v>
      </c>
      <c r="M4" s="6">
        <v>0.48958333333333331</v>
      </c>
      <c r="N4" s="4" t="s">
        <v>314</v>
      </c>
      <c r="O4" s="4" t="s">
        <v>273</v>
      </c>
      <c r="P4" s="4">
        <v>219</v>
      </c>
      <c r="Q4" s="4">
        <v>576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44347</v>
      </c>
      <c r="B5" s="4" t="s">
        <v>21</v>
      </c>
      <c r="C5" s="4" t="s">
        <v>68</v>
      </c>
      <c r="D5" s="4" t="s">
        <v>22</v>
      </c>
      <c r="E5" s="4" t="str">
        <f>E4</f>
        <v>HA-LWP</v>
      </c>
      <c r="F5" s="4" t="s">
        <v>23</v>
      </c>
      <c r="G5" s="4">
        <v>70000</v>
      </c>
      <c r="H5" s="4" t="s">
        <v>72</v>
      </c>
      <c r="I5" s="4" t="s">
        <v>142</v>
      </c>
      <c r="J5" s="5">
        <v>0.92013888888888884</v>
      </c>
      <c r="K5" s="6">
        <v>0.91111111111111109</v>
      </c>
      <c r="L5" s="5">
        <v>0.73958333333333337</v>
      </c>
      <c r="M5" s="6">
        <v>0.74305555555555547</v>
      </c>
      <c r="N5" s="4" t="s">
        <v>318</v>
      </c>
      <c r="O5" s="4" t="s">
        <v>316</v>
      </c>
      <c r="P5" s="4">
        <v>903</v>
      </c>
      <c r="Q5" s="4">
        <v>763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/>
      <c r="B6" s="4"/>
      <c r="C6" s="4"/>
      <c r="D6" s="4"/>
      <c r="E6" s="4"/>
      <c r="F6" s="4"/>
      <c r="G6" s="4"/>
      <c r="H6" s="4"/>
      <c r="I6" s="4"/>
      <c r="J6" s="5"/>
      <c r="K6" s="6"/>
      <c r="L6" s="5"/>
      <c r="M6" s="6"/>
      <c r="N6" s="4"/>
      <c r="O6" s="4"/>
      <c r="P6" s="4"/>
      <c r="Q6" s="4"/>
      <c r="R6" s="4"/>
      <c r="S6" s="4"/>
      <c r="T6" s="4"/>
      <c r="U6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2021-02-01T03:54:40Z</dcterms:created>
  <dcterms:modified xsi:type="dcterms:W3CDTF">2021-05-31T19:54:52Z</dcterms:modified>
</cp:coreProperties>
</file>