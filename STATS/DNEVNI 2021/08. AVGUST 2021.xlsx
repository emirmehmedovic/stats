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655" windowWidth="18195" windowHeight="9240" tabRatio="640" firstSheet="10" activeTab="29"/>
  </bookViews>
  <sheets>
    <sheet name="1" sheetId="56" r:id="rId1"/>
    <sheet name="2" sheetId="57" r:id="rId2"/>
    <sheet name="3" sheetId="58" r:id="rId3"/>
    <sheet name="5" sheetId="60" r:id="rId4"/>
    <sheet name="6" sheetId="61" r:id="rId5"/>
    <sheet name="7" sheetId="62" r:id="rId6"/>
    <sheet name="8" sheetId="63" r:id="rId7"/>
    <sheet name="9" sheetId="64" r:id="rId8"/>
    <sheet name="10" sheetId="65" r:id="rId9"/>
    <sheet name="11" sheetId="59" r:id="rId10"/>
    <sheet name="12" sheetId="67" r:id="rId11"/>
    <sheet name="13" sheetId="68" r:id="rId12"/>
    <sheet name="14" sheetId="66" r:id="rId13"/>
    <sheet name="15" sheetId="69" r:id="rId14"/>
    <sheet name="16" sheetId="70" r:id="rId15"/>
    <sheet name="17" sheetId="71" r:id="rId16"/>
    <sheet name="18" sheetId="72" r:id="rId17"/>
    <sheet name="19" sheetId="73" r:id="rId18"/>
    <sheet name="20" sheetId="74" r:id="rId19"/>
    <sheet name="21" sheetId="75" r:id="rId20"/>
    <sheet name="22" sheetId="76" r:id="rId21"/>
    <sheet name="23" sheetId="77" r:id="rId22"/>
    <sheet name="24" sheetId="78" r:id="rId23"/>
    <sheet name="25" sheetId="79" r:id="rId24"/>
    <sheet name="26" sheetId="80" r:id="rId25"/>
    <sheet name="27" sheetId="81" r:id="rId26"/>
    <sheet name="28" sheetId="82" r:id="rId27"/>
    <sheet name="29" sheetId="83" r:id="rId28"/>
    <sheet name="30" sheetId="84" r:id="rId29"/>
    <sheet name="31" sheetId="85" r:id="rId30"/>
  </sheets>
  <calcPr calcId="145621"/>
</workbook>
</file>

<file path=xl/calcChain.xml><?xml version="1.0" encoding="utf-8"?>
<calcChain xmlns="http://schemas.openxmlformats.org/spreadsheetml/2006/main">
  <c r="A8" i="81" l="1"/>
  <c r="O7" i="80" l="1"/>
  <c r="E5" i="80" l="1"/>
  <c r="M6" i="75" l="1"/>
  <c r="A4" i="74" l="1"/>
  <c r="A3" i="74"/>
  <c r="A5" i="74" s="1"/>
  <c r="A6" i="74" s="1"/>
  <c r="E5" i="73" l="1"/>
  <c r="E6" i="70" l="1"/>
  <c r="A3" i="68" l="1"/>
  <c r="A4" i="68" s="1"/>
  <c r="A5" i="68" s="1"/>
  <c r="A6" i="68" s="1"/>
  <c r="I7" i="67" l="1"/>
  <c r="E6" i="67" l="1"/>
  <c r="E5" i="67"/>
  <c r="K3" i="64" l="1"/>
  <c r="M7" i="64" l="1"/>
  <c r="E6" i="64" l="1"/>
  <c r="E7" i="62" l="1"/>
  <c r="A3" i="61" l="1"/>
  <c r="A4" i="61" s="1"/>
  <c r="A5" i="61" s="1"/>
  <c r="A6" i="61" s="1"/>
  <c r="E5" i="60" l="1"/>
  <c r="E6" i="57" l="1"/>
  <c r="A3" i="57"/>
  <c r="A4" i="57" s="1"/>
  <c r="A5" i="57" s="1"/>
  <c r="A6" i="57" s="1"/>
</calcChain>
</file>

<file path=xl/sharedStrings.xml><?xml version="1.0" encoding="utf-8"?>
<sst xmlns="http://schemas.openxmlformats.org/spreadsheetml/2006/main" count="2235" uniqueCount="462">
  <si>
    <t>datum</t>
  </si>
  <si>
    <t>kompanija</t>
  </si>
  <si>
    <t>ruta</t>
  </si>
  <si>
    <t>tip a/c</t>
  </si>
  <si>
    <t>reg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</si>
  <si>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</si>
  <si>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</si>
  <si>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</si>
  <si>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</si>
  <si>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</si>
  <si>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</si>
  <si>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</si>
  <si>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</si>
  <si>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</si>
  <si>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</si>
  <si>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</si>
  <si>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</si>
  <si>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</si>
  <si>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</si>
  <si>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WIZZAIR</t>
  </si>
  <si>
    <t>A320</t>
  </si>
  <si>
    <t>SCHEDULED</t>
  </si>
  <si>
    <t>TZL-CGN-TZL</t>
  </si>
  <si>
    <t>W64300</t>
  </si>
  <si>
    <t>W64299</t>
  </si>
  <si>
    <t>TZL-MMX-TZL</t>
  </si>
  <si>
    <t>W64292</t>
  </si>
  <si>
    <t>W64291</t>
  </si>
  <si>
    <t>tip OPER</t>
  </si>
  <si>
    <t>TZL-NYO-TZL</t>
  </si>
  <si>
    <t>TZL-BLL-TZL</t>
  </si>
  <si>
    <t>W64277</t>
  </si>
  <si>
    <t>W64278</t>
  </si>
  <si>
    <t>W64282</t>
  </si>
  <si>
    <t>TZL-FDH-TZL</t>
  </si>
  <si>
    <t>W64616</t>
  </si>
  <si>
    <t>W64615</t>
  </si>
  <si>
    <t>W64681</t>
  </si>
  <si>
    <t>HA-LWG</t>
  </si>
  <si>
    <t>HA-LWB</t>
  </si>
  <si>
    <t>163+3 INF</t>
  </si>
  <si>
    <t>174+3 INF</t>
  </si>
  <si>
    <t>88+0 INF</t>
  </si>
  <si>
    <t>JUNG SKY D.O.O.</t>
  </si>
  <si>
    <t>TZL-RJK</t>
  </si>
  <si>
    <t>C25A</t>
  </si>
  <si>
    <t>9A-JSC</t>
  </si>
  <si>
    <t>GA PRIVATE</t>
  </si>
  <si>
    <t>-</t>
  </si>
  <si>
    <t>JSY017C</t>
  </si>
  <si>
    <t>2+0 INF</t>
  </si>
  <si>
    <t>177+8 INF</t>
  </si>
  <si>
    <t>161+4 INF</t>
  </si>
  <si>
    <t>173+1 INF</t>
  </si>
  <si>
    <t>114+1NF</t>
  </si>
  <si>
    <t>179+4INF</t>
  </si>
  <si>
    <t>135+0INF</t>
  </si>
  <si>
    <t>179+6INF</t>
  </si>
  <si>
    <t>pošta O(kg)</t>
  </si>
  <si>
    <t>TZL-DTM-TZL</t>
  </si>
  <si>
    <t>W64298</t>
  </si>
  <si>
    <t>W64297</t>
  </si>
  <si>
    <t>TZL-GOT-TZL</t>
  </si>
  <si>
    <t>W64296</t>
  </si>
  <si>
    <t>W64295</t>
  </si>
  <si>
    <t>TZL-HHN-TZL</t>
  </si>
  <si>
    <t>W64284</t>
  </si>
  <si>
    <t>W64283</t>
  </si>
  <si>
    <t>TZL-FKB-TZL</t>
  </si>
  <si>
    <t>HALWG</t>
  </si>
  <si>
    <t>HALWB</t>
  </si>
  <si>
    <t>171+3 INF</t>
  </si>
  <si>
    <t>109+4 INF</t>
  </si>
  <si>
    <t>W64618</t>
  </si>
  <si>
    <t>W64617</t>
  </si>
  <si>
    <t>88+2INF</t>
  </si>
  <si>
    <t>166+6INF</t>
  </si>
  <si>
    <t>162+3 INF</t>
  </si>
  <si>
    <t>174+4 INF</t>
  </si>
  <si>
    <t>44+0INF</t>
  </si>
  <si>
    <t>172+4INF</t>
  </si>
  <si>
    <t>167+6INF</t>
  </si>
  <si>
    <t>174+4INF</t>
  </si>
  <si>
    <t>TZL-VIE-TZL</t>
  </si>
  <si>
    <t>W64286</t>
  </si>
  <si>
    <t>W64285</t>
  </si>
  <si>
    <t>TZL-MLH-TZL</t>
  </si>
  <si>
    <t>W64294</t>
  </si>
  <si>
    <t>W64293</t>
  </si>
  <si>
    <t>TZL-BER-TZL</t>
  </si>
  <si>
    <t>W64276</t>
  </si>
  <si>
    <t>W64275</t>
  </si>
  <si>
    <t>TZL-EIN-TZL</t>
  </si>
  <si>
    <t>W64290</t>
  </si>
  <si>
    <t>W64289</t>
  </si>
  <si>
    <t>TZL-FMM-TZL</t>
  </si>
  <si>
    <t>W64280</t>
  </si>
  <si>
    <t>W64279</t>
  </si>
  <si>
    <t>TZL-VXO-TZL</t>
  </si>
  <si>
    <t>W64612</t>
  </si>
  <si>
    <t>W64611</t>
  </si>
  <si>
    <t>FREEBIRD</t>
  </si>
  <si>
    <t>AYT-TZL-AYT</t>
  </si>
  <si>
    <t>FHY821</t>
  </si>
  <si>
    <t>FHY822</t>
  </si>
  <si>
    <t>TC-FHM</t>
  </si>
  <si>
    <t>174+9 INF</t>
  </si>
  <si>
    <t>CHARTER</t>
  </si>
  <si>
    <t>143+7 INF</t>
  </si>
  <si>
    <t>178+8 INF</t>
  </si>
  <si>
    <t>179+4 INF</t>
  </si>
  <si>
    <t>172+6 INF</t>
  </si>
  <si>
    <t>166+3 INF</t>
  </si>
  <si>
    <t>151+1 INF</t>
  </si>
  <si>
    <t>167+3 INF</t>
  </si>
  <si>
    <t>172+2 INF</t>
  </si>
  <si>
    <t>170+5INF</t>
  </si>
  <si>
    <t>175+4 INF</t>
  </si>
  <si>
    <t>61+0INF</t>
  </si>
  <si>
    <t>177+5INF</t>
  </si>
  <si>
    <t>W64281</t>
  </si>
  <si>
    <t>178+4 INF</t>
  </si>
  <si>
    <t>164+2 INF</t>
  </si>
  <si>
    <t>WIZZAR</t>
  </si>
  <si>
    <t>HA-LPN</t>
  </si>
  <si>
    <t>141+5 INF</t>
  </si>
  <si>
    <t>165+1 INF</t>
  </si>
  <si>
    <t>DIV TO BNX</t>
  </si>
  <si>
    <t>BNX-TZL</t>
  </si>
  <si>
    <t>FERRY IN (T)</t>
  </si>
  <si>
    <t>153+4 INF</t>
  </si>
  <si>
    <t>170+4INF</t>
  </si>
  <si>
    <t>145+2INF</t>
  </si>
  <si>
    <t>175+2INF</t>
  </si>
  <si>
    <t>172+5INF</t>
  </si>
  <si>
    <t>90+1INF</t>
  </si>
  <si>
    <t>165+4INF</t>
  </si>
  <si>
    <t>CH</t>
  </si>
  <si>
    <t>177+2INF</t>
  </si>
  <si>
    <t>169+2INF</t>
  </si>
  <si>
    <t>106+5INF</t>
  </si>
  <si>
    <t>171+2INF</t>
  </si>
  <si>
    <t>174+5INF</t>
  </si>
  <si>
    <t>93+3 INF</t>
  </si>
  <si>
    <t>176+3 INF</t>
  </si>
  <si>
    <t>TC-FHN</t>
  </si>
  <si>
    <t>174+2 INF</t>
  </si>
  <si>
    <t>175+5 INF</t>
  </si>
  <si>
    <t>163+5 INF</t>
  </si>
  <si>
    <t>174+6 INF</t>
  </si>
  <si>
    <t>166+6 INF</t>
  </si>
  <si>
    <t>180+8 INF</t>
  </si>
  <si>
    <t>168+7 INF</t>
  </si>
  <si>
    <t>178+3 INF</t>
  </si>
  <si>
    <t>174+6INF</t>
  </si>
  <si>
    <t>171+4 INF</t>
  </si>
  <si>
    <t>171+1INF</t>
  </si>
  <si>
    <t>177+5 INF</t>
  </si>
  <si>
    <t>HALPN</t>
  </si>
  <si>
    <t>TAKOVO</t>
  </si>
  <si>
    <t>BEG-TZL-TREBINJE</t>
  </si>
  <si>
    <t>ROBINSIN66</t>
  </si>
  <si>
    <t>YUHRD</t>
  </si>
  <si>
    <t>NON SCHEDULED</t>
  </si>
  <si>
    <t>60+1INF</t>
  </si>
  <si>
    <t>163+3INF</t>
  </si>
  <si>
    <t>176+4 INF</t>
  </si>
  <si>
    <t>155+1 INF</t>
  </si>
  <si>
    <t>178+5 INF</t>
  </si>
  <si>
    <t>74+1 INF</t>
  </si>
  <si>
    <t>77+2 INF</t>
  </si>
  <si>
    <t>168+3 INF</t>
  </si>
  <si>
    <t>165+2 INF</t>
  </si>
  <si>
    <t>153+6 INF</t>
  </si>
  <si>
    <t>96+1 INF</t>
  </si>
  <si>
    <t>180+1 INF</t>
  </si>
  <si>
    <t>157+8 INF</t>
  </si>
  <si>
    <t>40+0 INF</t>
  </si>
  <si>
    <t>SAZ51</t>
  </si>
  <si>
    <t>SAZ52</t>
  </si>
  <si>
    <t>SWISS AIR AMBULANCE</t>
  </si>
  <si>
    <t>ZRH-TZL-ZRH</t>
  </si>
  <si>
    <t>CL650</t>
  </si>
  <si>
    <t>HB-JWA</t>
  </si>
  <si>
    <t>MEDEVAC</t>
  </si>
  <si>
    <t>161+5 INF</t>
  </si>
  <si>
    <t>166+1 INF</t>
  </si>
  <si>
    <t>177+4 INF</t>
  </si>
  <si>
    <t>RIAD SALKANOVIC</t>
  </si>
  <si>
    <t>RJK-TZL-CILJUGE</t>
  </si>
  <si>
    <t>C172</t>
  </si>
  <si>
    <t>TEC.FLIGHT</t>
  </si>
  <si>
    <t>E7-AAN</t>
  </si>
  <si>
    <t>45+0 INF</t>
  </si>
  <si>
    <t>164+8 INF</t>
  </si>
  <si>
    <t>148+6 INF</t>
  </si>
  <si>
    <t>177+6 INF</t>
  </si>
  <si>
    <t>JSU</t>
  </si>
  <si>
    <t>JSY114C</t>
  </si>
  <si>
    <t>JSY116C</t>
  </si>
  <si>
    <t>PUY-TZL-SKG</t>
  </si>
  <si>
    <t>42+1 INF</t>
  </si>
  <si>
    <t>C56X</t>
  </si>
  <si>
    <t>S5-BBC</t>
  </si>
  <si>
    <t>149+5 INF</t>
  </si>
  <si>
    <t>38+0INF</t>
  </si>
  <si>
    <t>174+1 INF</t>
  </si>
  <si>
    <t>161+2INF</t>
  </si>
  <si>
    <t>146+3INF</t>
  </si>
  <si>
    <t>ALPAVIA</t>
  </si>
  <si>
    <t>LJU-TZL-TIV</t>
  </si>
  <si>
    <t>157+1 INF</t>
  </si>
  <si>
    <t>167+7 INF</t>
  </si>
  <si>
    <t>GA-PRIVATE</t>
  </si>
  <si>
    <t>YU-BZW</t>
  </si>
  <si>
    <t>PA34</t>
  </si>
  <si>
    <t>KVO-TZL-KVO</t>
  </si>
  <si>
    <t>Aero klub Trstenik</t>
  </si>
  <si>
    <t>167+6 INF</t>
  </si>
  <si>
    <t>175+3 INF</t>
  </si>
  <si>
    <t xml:space="preserve"> </t>
  </si>
  <si>
    <t>119+2INF</t>
  </si>
  <si>
    <t>94+1INF</t>
  </si>
  <si>
    <t>144+4INF</t>
  </si>
  <si>
    <t>106+0INF</t>
  </si>
  <si>
    <t>160+2INF</t>
  </si>
  <si>
    <t>TC-FHG</t>
  </si>
  <si>
    <t>172+3 INF</t>
  </si>
  <si>
    <t>169+5 INF</t>
  </si>
  <si>
    <t>55+0 INF</t>
  </si>
  <si>
    <t>154+3 INF</t>
  </si>
  <si>
    <t>174+5 INF</t>
  </si>
  <si>
    <t>179+0 INF</t>
  </si>
  <si>
    <t>63+1INF</t>
  </si>
  <si>
    <t>171+3INF</t>
  </si>
  <si>
    <t>176+6INF</t>
  </si>
  <si>
    <t>TIV-TZL-LJU</t>
  </si>
  <si>
    <t>NONSCHEDULED</t>
  </si>
  <si>
    <t>2 PUTNIKA U TRANZITU</t>
  </si>
  <si>
    <t>159+3INF</t>
  </si>
  <si>
    <t>HA-LYB</t>
  </si>
  <si>
    <t>165+3INF</t>
  </si>
  <si>
    <t>179+8INF</t>
  </si>
  <si>
    <t>176+4INF</t>
  </si>
  <si>
    <t>178+4INF</t>
  </si>
  <si>
    <t>164+2INF</t>
  </si>
  <si>
    <t>174+2INF</t>
  </si>
  <si>
    <t>156+6INF</t>
  </si>
  <si>
    <t>170+6INF</t>
  </si>
  <si>
    <t>39+1INF</t>
  </si>
  <si>
    <t>169+3INF</t>
  </si>
  <si>
    <t>178+1INF</t>
  </si>
  <si>
    <t>172+4 INF</t>
  </si>
  <si>
    <t>141+3 INF</t>
  </si>
  <si>
    <t>YU-HSW</t>
  </si>
  <si>
    <t>R66</t>
  </si>
  <si>
    <t>PRN-TZL-ZRH</t>
  </si>
  <si>
    <t>SAZ53</t>
  </si>
  <si>
    <t>60+0INF</t>
  </si>
  <si>
    <t>56+0INF</t>
  </si>
  <si>
    <t>177+3INF</t>
  </si>
  <si>
    <t>176+1INF</t>
  </si>
  <si>
    <t>155+1INF</t>
  </si>
  <si>
    <t>94+3INF</t>
  </si>
  <si>
    <t>HALYB</t>
  </si>
  <si>
    <t>33+1INF</t>
  </si>
  <si>
    <t>149+5INF</t>
  </si>
  <si>
    <t>59+2 INF</t>
  </si>
  <si>
    <t>177+0 INF</t>
  </si>
  <si>
    <t>177+7 INF</t>
  </si>
  <si>
    <t>159+3 INF</t>
  </si>
  <si>
    <t>179+2 INF</t>
  </si>
  <si>
    <t>142+1 INF</t>
  </si>
  <si>
    <t>138+7 INF</t>
  </si>
  <si>
    <t>177+1 INF</t>
  </si>
  <si>
    <t>164+5 INF</t>
  </si>
  <si>
    <t>157+2 INF</t>
  </si>
  <si>
    <t>72+3 INF</t>
  </si>
  <si>
    <t>91+2INF</t>
  </si>
  <si>
    <t>14.27</t>
  </si>
  <si>
    <t>OTKAZAN</t>
  </si>
  <si>
    <t>173+3INF</t>
  </si>
  <si>
    <t>152+1 INF</t>
  </si>
  <si>
    <t>NIKOLA LOVRIĆ</t>
  </si>
  <si>
    <t>BEG-TZL-BEG</t>
  </si>
  <si>
    <t>PIVI</t>
  </si>
  <si>
    <t>YULOA</t>
  </si>
  <si>
    <t>GP</t>
  </si>
  <si>
    <t>38+1INF</t>
  </si>
  <si>
    <t>HA-LWP</t>
  </si>
  <si>
    <t>W6803</t>
  </si>
  <si>
    <t>HALWP</t>
  </si>
  <si>
    <t>160+7INF</t>
  </si>
  <si>
    <t>156+3INF</t>
  </si>
  <si>
    <t>W6804</t>
  </si>
  <si>
    <t>60+2 INF</t>
  </si>
  <si>
    <t>113+0 INF</t>
  </si>
  <si>
    <t>173+5 INF</t>
  </si>
  <si>
    <t>132+3 INF</t>
  </si>
  <si>
    <t>FMM-TZL</t>
  </si>
  <si>
    <t>162+6 INF</t>
  </si>
  <si>
    <t>TF</t>
  </si>
  <si>
    <t>KOMPANIJA TAKOVO</t>
  </si>
  <si>
    <t>TF/HELICOPTER</t>
  </si>
  <si>
    <t>IAS-TZL-IAS</t>
  </si>
  <si>
    <t>HA-LWP/HA-LYB</t>
  </si>
  <si>
    <t>164+10 INF</t>
  </si>
  <si>
    <t>160+3 INF</t>
  </si>
  <si>
    <t>140+4 INF</t>
  </si>
  <si>
    <t>152+3 INF</t>
  </si>
  <si>
    <t>91+2 INF</t>
  </si>
  <si>
    <t>56+1 INF</t>
  </si>
  <si>
    <t>169+7 INF</t>
  </si>
  <si>
    <t>83+0 INF</t>
  </si>
  <si>
    <t>115+3 INF</t>
  </si>
  <si>
    <t>TC-FHY</t>
  </si>
  <si>
    <t>156+4 INF</t>
  </si>
  <si>
    <t>173+2 INF</t>
  </si>
  <si>
    <t>AIR BOHEMIA</t>
  </si>
  <si>
    <t>VIE-TZL-OGY</t>
  </si>
  <si>
    <t>PAY3</t>
  </si>
  <si>
    <t>OK-MPM</t>
  </si>
  <si>
    <t>BOH621</t>
  </si>
  <si>
    <t>BOH622</t>
  </si>
  <si>
    <t>146+2 INF</t>
  </si>
  <si>
    <t>178+7 INF</t>
  </si>
  <si>
    <t>168+2 INF</t>
  </si>
  <si>
    <t>101+4 INF</t>
  </si>
  <si>
    <t>157+4 INF</t>
  </si>
  <si>
    <t>HA-LYL</t>
  </si>
  <si>
    <t>174+8INF</t>
  </si>
  <si>
    <t>169+1INF</t>
  </si>
  <si>
    <t>162+0INF</t>
  </si>
  <si>
    <t>173+2INF</t>
  </si>
  <si>
    <t>180+0INF</t>
  </si>
  <si>
    <t>170+6 INF</t>
  </si>
  <si>
    <t>156+6 INF</t>
  </si>
  <si>
    <t>120+0 INF</t>
  </si>
  <si>
    <t>173+4 INF</t>
  </si>
  <si>
    <t>160+4 INF</t>
  </si>
  <si>
    <t>70+2 INF</t>
  </si>
  <si>
    <t>JUNG SKY</t>
  </si>
  <si>
    <t>9A-JSD</t>
  </si>
  <si>
    <t>JSY228D</t>
  </si>
  <si>
    <t>JSY229D</t>
  </si>
  <si>
    <t>SPU-TZL-SPU</t>
  </si>
  <si>
    <t>158+4INF</t>
  </si>
  <si>
    <t>167+5INF</t>
  </si>
  <si>
    <t>QEF-TZL</t>
  </si>
  <si>
    <t>C25B</t>
  </si>
  <si>
    <t>SERLP</t>
  </si>
  <si>
    <t>ROP</t>
  </si>
  <si>
    <t>ROYAL AIR AB</t>
  </si>
  <si>
    <t>50+1INF</t>
  </si>
  <si>
    <t>111+2INF</t>
  </si>
  <si>
    <t>156+1 INF</t>
  </si>
  <si>
    <t>144+2 INF</t>
  </si>
  <si>
    <t>71+0 INF</t>
  </si>
  <si>
    <t>HALYL</t>
  </si>
  <si>
    <t>154+1 INF</t>
  </si>
  <si>
    <t>162+5 INF</t>
  </si>
  <si>
    <t xml:space="preserve"> 70+1 INF</t>
  </si>
  <si>
    <t>93+1 INF</t>
  </si>
  <si>
    <t>43+0INF</t>
  </si>
  <si>
    <t>171+4INF</t>
  </si>
  <si>
    <t>121+3INF</t>
  </si>
  <si>
    <t>118+6INF</t>
  </si>
  <si>
    <t>TC-FHC</t>
  </si>
  <si>
    <t>173+6 INF</t>
  </si>
  <si>
    <t>180+10 INF</t>
  </si>
  <si>
    <t>175+7 INF</t>
  </si>
  <si>
    <t>118+4 INF</t>
  </si>
  <si>
    <t>150+5 INF</t>
  </si>
  <si>
    <t>108+3 INF</t>
  </si>
  <si>
    <t>173+3 INF</t>
  </si>
  <si>
    <t>72+1 INF</t>
  </si>
  <si>
    <t>SPU-TZL-ZAG</t>
  </si>
  <si>
    <t>JSY244D</t>
  </si>
  <si>
    <t>JSY245D</t>
  </si>
  <si>
    <t>175+5INF</t>
  </si>
  <si>
    <t>63+0INF</t>
  </si>
  <si>
    <t>152+5INF</t>
  </si>
  <si>
    <t>131+0 INF</t>
  </si>
  <si>
    <t>36+1 INF</t>
  </si>
  <si>
    <t>167+4 INF</t>
  </si>
  <si>
    <t>172+5 INF</t>
  </si>
  <si>
    <t>46+3 INF</t>
  </si>
  <si>
    <t>113+3 INF</t>
  </si>
  <si>
    <t>119+3 INF</t>
  </si>
  <si>
    <t>162+4 INF</t>
  </si>
  <si>
    <t>GOLDECK GmbH</t>
  </si>
  <si>
    <t>PC12</t>
  </si>
  <si>
    <t>OE-EPM</t>
  </si>
  <si>
    <t>GDK7</t>
  </si>
  <si>
    <t>QEW-TZL-BWK</t>
  </si>
  <si>
    <t>5+0 INF</t>
  </si>
  <si>
    <t>174+0 INF</t>
  </si>
  <si>
    <t>139+2 INF</t>
  </si>
  <si>
    <t>162+7 INF</t>
  </si>
  <si>
    <t>57+0 INF</t>
  </si>
  <si>
    <t>103+2 INF</t>
  </si>
  <si>
    <t>101+3 INF</t>
  </si>
  <si>
    <t>FREEBIRD AIRLINES</t>
  </si>
  <si>
    <t>TC-FBO</t>
  </si>
  <si>
    <t>175+7INF</t>
  </si>
  <si>
    <t>159+4INF</t>
  </si>
  <si>
    <t>126+2INF</t>
  </si>
  <si>
    <t>175+10INF</t>
  </si>
  <si>
    <t>111+1INF</t>
  </si>
  <si>
    <t>87+1INF</t>
  </si>
  <si>
    <t>161+1INF</t>
  </si>
  <si>
    <t>111+3 INF</t>
  </si>
  <si>
    <t>AIR ALLIANCE EXPRESS AG&amp;Co KG</t>
  </si>
  <si>
    <t>CL64</t>
  </si>
  <si>
    <t>D-AONE</t>
  </si>
  <si>
    <t>AYY151</t>
  </si>
  <si>
    <t>0 (1 TR)</t>
  </si>
  <si>
    <t>147+4 INF</t>
  </si>
  <si>
    <t>169+1 INF</t>
  </si>
  <si>
    <t>164+9INF</t>
  </si>
  <si>
    <t>132+3INF</t>
  </si>
  <si>
    <t>171+9INF</t>
  </si>
  <si>
    <t>172+2INF</t>
  </si>
  <si>
    <t>168+5INF</t>
  </si>
  <si>
    <t>178+7INF</t>
  </si>
  <si>
    <t>171+7 INF</t>
  </si>
  <si>
    <t>Pomjeren za 29.08.21</t>
  </si>
  <si>
    <t>101+0 INF</t>
  </si>
  <si>
    <t>143+2 INF</t>
  </si>
  <si>
    <t>KTW-TZL-KTW</t>
  </si>
  <si>
    <t>HA-LYT</t>
  </si>
  <si>
    <t>W801</t>
  </si>
  <si>
    <t>W802</t>
  </si>
  <si>
    <t>132+5 INF</t>
  </si>
  <si>
    <t>139+1 INF</t>
  </si>
  <si>
    <t>83+1 INF</t>
  </si>
  <si>
    <t>167+8 INF</t>
  </si>
  <si>
    <t>76+2INF</t>
  </si>
  <si>
    <t>78+1INF</t>
  </si>
  <si>
    <t>125+1INF</t>
  </si>
  <si>
    <t>83+1INF</t>
  </si>
  <si>
    <t>118+1 INF</t>
  </si>
  <si>
    <t>78+1 INF</t>
  </si>
  <si>
    <t>137+2 INF</t>
  </si>
  <si>
    <t>Aero-Dienst GmbH</t>
  </si>
  <si>
    <t>SKP-TZL-HAM</t>
  </si>
  <si>
    <t>D328</t>
  </si>
  <si>
    <t>D-BADA</t>
  </si>
  <si>
    <t>62+0INF</t>
  </si>
  <si>
    <t>178+5INF</t>
  </si>
  <si>
    <t>133+1INF</t>
  </si>
  <si>
    <t>107+2INF</t>
  </si>
  <si>
    <t>0(1TR)</t>
  </si>
  <si>
    <t>1+1TR</t>
  </si>
  <si>
    <t>153+3 INF</t>
  </si>
  <si>
    <t xml:space="preserve"> 105+2 INF</t>
  </si>
  <si>
    <t xml:space="preserve"> 180+4 INF</t>
  </si>
  <si>
    <t xml:space="preserve">  134+4 INF</t>
  </si>
  <si>
    <t>170+2 INF</t>
  </si>
  <si>
    <t>69+3 INF</t>
  </si>
  <si>
    <t>51+0 INF</t>
  </si>
  <si>
    <t>¸120+0INF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</si>
</sst>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32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20" fontId="3" fillId="0" borderId="0" xfId="0" applyNumberFormat="1" applyFont="1" applyFill="1" applyAlignment="1">
      <alignment horizontal="center"/>
    </xf>
    <xf numFmtId="20" fontId="4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0" fontId="0" fillId="0" borderId="0" xfId="0" applyNumberFormat="1"/>
    <xf numFmtId="20" fontId="6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3" fillId="0" borderId="0" xfId="0" applyFon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2" fillId="0" borderId="0" xfId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4" fontId="2" fillId="0" borderId="0" xfId="3" applyNumberFormat="1" applyFont="1" applyFill="1" applyAlignment="1">
      <alignment horizontal="center" vertical="center"/>
    </xf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>
      <selection activeCell="F7" sqref="F7"/>
    </sheetView>
  </sheetViews>
  <sheetFormatPr defaultRowHeight="15" x14ac:dyDescent="0.25"/>
  <cols>
    <col min="1" max="1" width="11.5703125" customWidth="1"/>
    <col min="2" max="2" width="16" bestFit="1" customWidth="1"/>
    <col min="3" max="3" width="13.5703125" bestFit="1" customWidth="1"/>
    <col min="4" max="4" width="13.85546875" customWidth="1"/>
    <col min="6" max="6" width="14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5">
        <v>44409</v>
      </c>
      <c r="B2" s="6" t="s">
        <v>19</v>
      </c>
      <c r="C2" s="6" t="s">
        <v>25</v>
      </c>
      <c r="D2" s="6" t="s">
        <v>20</v>
      </c>
      <c r="E2" s="6" t="s">
        <v>38</v>
      </c>
      <c r="F2" s="2" t="s">
        <v>21</v>
      </c>
      <c r="G2" s="2">
        <v>70000</v>
      </c>
      <c r="H2" s="6" t="s">
        <v>26</v>
      </c>
      <c r="I2" s="6" t="s">
        <v>27</v>
      </c>
      <c r="J2" s="3">
        <v>0.45833333333333331</v>
      </c>
      <c r="K2" s="4">
        <v>0.47152777777777777</v>
      </c>
      <c r="L2" s="3">
        <v>0.25694444444444448</v>
      </c>
      <c r="M2" s="4">
        <v>0.28472222222222221</v>
      </c>
      <c r="N2" s="6" t="s">
        <v>42</v>
      </c>
      <c r="O2" s="2" t="s">
        <v>40</v>
      </c>
      <c r="P2" s="2">
        <v>577</v>
      </c>
      <c r="Q2" s="2">
        <v>1148</v>
      </c>
      <c r="R2" s="2">
        <v>0</v>
      </c>
      <c r="S2" s="2">
        <v>0</v>
      </c>
      <c r="T2" s="2">
        <v>0</v>
      </c>
    </row>
    <row r="3" spans="1:20" x14ac:dyDescent="0.25">
      <c r="A3" s="5">
        <v>44409</v>
      </c>
      <c r="B3" s="6" t="s">
        <v>19</v>
      </c>
      <c r="C3" s="6" t="s">
        <v>34</v>
      </c>
      <c r="D3" s="6" t="s">
        <v>20</v>
      </c>
      <c r="E3" s="2" t="s">
        <v>39</v>
      </c>
      <c r="F3" s="6" t="s">
        <v>21</v>
      </c>
      <c r="G3" s="6">
        <v>70000</v>
      </c>
      <c r="H3" s="6" t="s">
        <v>35</v>
      </c>
      <c r="I3" s="6" t="s">
        <v>36</v>
      </c>
      <c r="J3" s="7">
        <v>0.40625</v>
      </c>
      <c r="K3" s="8">
        <v>0.44236111111111115</v>
      </c>
      <c r="L3" s="7">
        <v>0.25694444444444448</v>
      </c>
      <c r="M3" s="8">
        <v>0.29375000000000001</v>
      </c>
      <c r="N3" s="6" t="s">
        <v>51</v>
      </c>
      <c r="O3" s="6" t="s">
        <v>41</v>
      </c>
      <c r="P3" s="6">
        <v>1345</v>
      </c>
      <c r="Q3" s="6">
        <v>1265</v>
      </c>
      <c r="R3" s="2">
        <v>0</v>
      </c>
      <c r="S3" s="2">
        <v>0</v>
      </c>
      <c r="T3" s="2">
        <v>0</v>
      </c>
    </row>
    <row r="4" spans="1:20" x14ac:dyDescent="0.25">
      <c r="A4" s="5">
        <v>44409</v>
      </c>
      <c r="B4" s="6" t="s">
        <v>19</v>
      </c>
      <c r="C4" s="6" t="s">
        <v>29</v>
      </c>
      <c r="D4" s="6" t="s">
        <v>20</v>
      </c>
      <c r="E4" s="2" t="s">
        <v>39</v>
      </c>
      <c r="F4" s="6" t="s">
        <v>21</v>
      </c>
      <c r="G4" s="6">
        <v>70000</v>
      </c>
      <c r="H4" s="6" t="s">
        <v>33</v>
      </c>
      <c r="I4" s="6" t="s">
        <v>37</v>
      </c>
      <c r="J4" s="7">
        <v>0.70486111111111116</v>
      </c>
      <c r="K4" s="8">
        <v>0.7104166666666667</v>
      </c>
      <c r="L4" s="7">
        <v>0.46875</v>
      </c>
      <c r="M4" s="8">
        <v>0.48888888888888887</v>
      </c>
      <c r="N4" s="6" t="s">
        <v>54</v>
      </c>
      <c r="O4" s="2" t="s">
        <v>52</v>
      </c>
      <c r="P4" s="2">
        <v>1005</v>
      </c>
      <c r="Q4" s="2">
        <v>1727</v>
      </c>
      <c r="R4" s="2">
        <v>0</v>
      </c>
      <c r="S4" s="2">
        <v>0</v>
      </c>
      <c r="T4" s="2">
        <v>0</v>
      </c>
    </row>
    <row r="5" spans="1:20" x14ac:dyDescent="0.25">
      <c r="A5" s="5">
        <v>44409</v>
      </c>
      <c r="B5" s="6" t="s">
        <v>19</v>
      </c>
      <c r="C5" s="6" t="s">
        <v>22</v>
      </c>
      <c r="D5" s="6" t="s">
        <v>20</v>
      </c>
      <c r="E5" s="6" t="s">
        <v>38</v>
      </c>
      <c r="F5" s="6" t="s">
        <v>21</v>
      </c>
      <c r="G5" s="6">
        <v>70000</v>
      </c>
      <c r="H5" s="6" t="s">
        <v>23</v>
      </c>
      <c r="I5" s="6" t="s">
        <v>24</v>
      </c>
      <c r="J5" s="3">
        <v>0.90625</v>
      </c>
      <c r="K5" s="4">
        <v>0.96805555555555556</v>
      </c>
      <c r="L5" s="3">
        <v>0.4861111111111111</v>
      </c>
      <c r="M5" s="4">
        <v>0.50902777777777775</v>
      </c>
      <c r="N5" s="2" t="s">
        <v>57</v>
      </c>
      <c r="O5" s="2" t="s">
        <v>53</v>
      </c>
      <c r="P5" s="2">
        <v>1616</v>
      </c>
      <c r="Q5" s="2">
        <v>1435</v>
      </c>
      <c r="R5" s="2">
        <v>0</v>
      </c>
      <c r="S5" s="2">
        <v>0</v>
      </c>
      <c r="T5" s="2">
        <v>0</v>
      </c>
    </row>
    <row r="6" spans="1:20" x14ac:dyDescent="0.25">
      <c r="A6" s="5">
        <v>44409</v>
      </c>
      <c r="B6" s="6" t="s">
        <v>19</v>
      </c>
      <c r="C6" s="6" t="s">
        <v>30</v>
      </c>
      <c r="D6" s="6" t="s">
        <v>20</v>
      </c>
      <c r="E6" s="6" t="s">
        <v>39</v>
      </c>
      <c r="F6" s="6" t="s">
        <v>21</v>
      </c>
      <c r="G6" s="6">
        <v>70000</v>
      </c>
      <c r="H6" s="6" t="s">
        <v>32</v>
      </c>
      <c r="I6" s="6" t="s">
        <v>31</v>
      </c>
      <c r="J6" s="7">
        <v>0.94097222222222221</v>
      </c>
      <c r="K6" s="8">
        <v>0.95208333333333339</v>
      </c>
      <c r="L6" s="7">
        <v>0.72569444444444453</v>
      </c>
      <c r="M6" s="8">
        <v>0.74722222222222223</v>
      </c>
      <c r="N6" s="6" t="s">
        <v>56</v>
      </c>
      <c r="O6" s="2" t="s">
        <v>55</v>
      </c>
      <c r="P6" s="2">
        <v>794</v>
      </c>
      <c r="Q6" s="2">
        <v>1529</v>
      </c>
      <c r="R6" s="2">
        <v>0</v>
      </c>
      <c r="S6" s="2">
        <v>0</v>
      </c>
      <c r="T6" s="2">
        <v>0</v>
      </c>
    </row>
    <row r="7" spans="1:20" x14ac:dyDescent="0.25">
      <c r="A7" s="5">
        <v>44409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6">
        <v>5613</v>
      </c>
      <c r="H7" s="6" t="s">
        <v>48</v>
      </c>
      <c r="I7" s="6" t="s">
        <v>49</v>
      </c>
      <c r="J7" s="7" t="s">
        <v>48</v>
      </c>
      <c r="K7" s="8" t="s">
        <v>48</v>
      </c>
      <c r="L7" s="7">
        <v>0.34375</v>
      </c>
      <c r="M7" s="8">
        <v>0.34583333333333338</v>
      </c>
      <c r="N7" s="6">
        <v>0</v>
      </c>
      <c r="O7" s="6" t="s">
        <v>50</v>
      </c>
      <c r="P7" s="6">
        <v>0</v>
      </c>
      <c r="Q7" s="6">
        <v>0</v>
      </c>
      <c r="R7" s="2">
        <v>0</v>
      </c>
      <c r="S7" s="2">
        <v>0</v>
      </c>
      <c r="T7" s="2">
        <v>0</v>
      </c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0" x14ac:dyDescent="0.25">
      <c r="A13" s="6"/>
      <c r="B13" s="6"/>
      <c r="C13" s="6"/>
      <c r="D13" s="6"/>
      <c r="E13" s="2"/>
      <c r="F13" s="2"/>
      <c r="G13" s="6"/>
      <c r="H13" s="6"/>
      <c r="I13" s="3"/>
      <c r="J13" s="4"/>
      <c r="K13" s="3"/>
      <c r="L13" s="4"/>
      <c r="M13" s="6"/>
      <c r="N13" s="2"/>
      <c r="O13" s="2"/>
      <c r="P13" s="2"/>
      <c r="Q13" s="2"/>
      <c r="R13" s="2"/>
      <c r="S13" s="2"/>
    </row>
    <row r="14" spans="1:20" x14ac:dyDescent="0.25">
      <c r="A14" s="6"/>
      <c r="B14" s="6"/>
      <c r="C14" s="6"/>
      <c r="D14" s="2"/>
      <c r="E14" s="6"/>
      <c r="F14" s="6"/>
      <c r="G14" s="6"/>
      <c r="H14" s="6"/>
      <c r="I14" s="7"/>
      <c r="J14" s="8"/>
      <c r="K14" s="7"/>
      <c r="L14" s="8"/>
      <c r="M14" s="6"/>
      <c r="N14" s="6"/>
      <c r="O14" s="6"/>
      <c r="P14" s="6"/>
      <c r="Q14" s="2"/>
      <c r="R14" s="2"/>
      <c r="S14" s="2"/>
    </row>
    <row r="15" spans="1:20" x14ac:dyDescent="0.25">
      <c r="A15" s="6"/>
      <c r="B15" s="6"/>
      <c r="C15" s="6"/>
      <c r="D15" s="2"/>
      <c r="E15" s="6"/>
      <c r="F15" s="6"/>
      <c r="G15" s="6"/>
      <c r="H15" s="6"/>
      <c r="I15" s="7"/>
      <c r="J15" s="8"/>
      <c r="K15" s="7"/>
      <c r="L15" s="8"/>
      <c r="M15" s="6"/>
      <c r="N15" s="2"/>
      <c r="O15" s="2"/>
      <c r="P15" s="2"/>
      <c r="Q15" s="2"/>
      <c r="R15" s="2"/>
      <c r="S15" s="2"/>
    </row>
    <row r="16" spans="1:20" x14ac:dyDescent="0.25">
      <c r="A16" s="6"/>
      <c r="B16" s="6"/>
      <c r="C16" s="6"/>
      <c r="D16" s="6"/>
      <c r="E16" s="6"/>
      <c r="F16" s="6"/>
      <c r="G16" s="6"/>
      <c r="H16" s="6"/>
      <c r="I16" s="3"/>
      <c r="J16" s="4"/>
      <c r="K16" s="3"/>
      <c r="L16" s="4"/>
      <c r="M16" s="2"/>
      <c r="N16" s="2"/>
      <c r="O16" s="2"/>
      <c r="P16" s="2"/>
      <c r="Q16" s="2"/>
      <c r="R16" s="2"/>
      <c r="S16" s="2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7"/>
      <c r="J17" s="8"/>
      <c r="K17" s="7"/>
      <c r="L17" s="8"/>
      <c r="M17" s="6"/>
      <c r="N17" s="2"/>
      <c r="O17" s="2"/>
      <c r="P17" s="2"/>
      <c r="Q17" s="2"/>
      <c r="R17" s="2"/>
      <c r="S17" s="2"/>
    </row>
    <row r="18" spans="1:19" x14ac:dyDescent="0.25">
      <c r="A18" s="6"/>
      <c r="B18" s="6"/>
      <c r="C18" s="6"/>
      <c r="D18" s="6"/>
      <c r="E18" s="6"/>
      <c r="F18" s="6"/>
      <c r="G18" s="6"/>
      <c r="H18" s="6"/>
      <c r="I18" s="7"/>
      <c r="J18" s="8"/>
      <c r="K18" s="7"/>
      <c r="L18" s="8"/>
      <c r="M18" s="6"/>
      <c r="N18" s="6"/>
      <c r="O18" s="6"/>
      <c r="P18" s="6"/>
      <c r="Q18" s="2"/>
      <c r="R18" s="2"/>
      <c r="S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26" sqref="F26"/>
    </sheetView>
  </sheetViews>
  <sheetFormatPr defaultRowHeight="15" x14ac:dyDescent="0.25"/>
  <cols>
    <col min="1" max="1" width="8.5703125" customWidth="1"/>
    <col min="2" max="2" width="8.28515625" customWidth="1"/>
    <col min="3" max="3" width="10.42578125" customWidth="1"/>
    <col min="6" max="6" width="12.140625" bestFit="1" customWidth="1"/>
    <col min="10" max="10" width="9" customWidth="1"/>
    <col min="11" max="11" width="8.140625" customWidth="1"/>
    <col min="12" max="12" width="9.5703125" customWidth="1"/>
    <col min="13" max="13" width="10.85546875" bestFit="1" customWidth="1"/>
    <col min="14" max="14" width="13.28515625" customWidth="1"/>
    <col min="15" max="15" width="16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44410</v>
      </c>
      <c r="B2" s="6" t="s">
        <v>19</v>
      </c>
      <c r="C2" s="6" t="s">
        <v>25</v>
      </c>
      <c r="D2" s="6" t="s">
        <v>20</v>
      </c>
      <c r="E2" s="6" t="s">
        <v>69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0.47361111111111115</v>
      </c>
      <c r="L2" s="7">
        <v>0.25694444444444448</v>
      </c>
      <c r="M2" s="8">
        <v>0.2673611111111111</v>
      </c>
      <c r="N2" s="6" t="s">
        <v>75</v>
      </c>
      <c r="O2" s="6" t="s">
        <v>71</v>
      </c>
      <c r="P2" s="6">
        <v>879</v>
      </c>
      <c r="Q2" s="6">
        <v>1638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f>A2</f>
        <v>44410</v>
      </c>
      <c r="B3" s="5" t="s">
        <v>19</v>
      </c>
      <c r="C3" s="6" t="s">
        <v>68</v>
      </c>
      <c r="D3" s="6" t="s">
        <v>20</v>
      </c>
      <c r="E3" s="6" t="s">
        <v>70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v>0.47569444444444442</v>
      </c>
      <c r="L3" s="7">
        <v>0.27083333333333331</v>
      </c>
      <c r="M3" s="8">
        <v>0.28541666666666665</v>
      </c>
      <c r="N3" s="6" t="s">
        <v>76</v>
      </c>
      <c r="O3" s="6" t="s">
        <v>72</v>
      </c>
      <c r="P3" s="6">
        <v>1072</v>
      </c>
      <c r="Q3" s="6">
        <v>628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>A3</f>
        <v>44410</v>
      </c>
      <c r="B4" s="6" t="s">
        <v>19</v>
      </c>
      <c r="C4" s="6" t="s">
        <v>59</v>
      </c>
      <c r="D4" s="6" t="s">
        <v>20</v>
      </c>
      <c r="E4" s="6" t="s">
        <v>70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0.9819444444444444</v>
      </c>
      <c r="L4" s="7">
        <v>0.46875</v>
      </c>
      <c r="M4" s="8">
        <v>0.5180555555555556</v>
      </c>
      <c r="N4" s="6" t="s">
        <v>82</v>
      </c>
      <c r="O4" s="6" t="s">
        <v>77</v>
      </c>
      <c r="P4" s="6">
        <v>1216</v>
      </c>
      <c r="Q4" s="6">
        <v>1291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f>A4</f>
        <v>44410</v>
      </c>
      <c r="B5" s="6" t="s">
        <v>19</v>
      </c>
      <c r="C5" s="6" t="s">
        <v>62</v>
      </c>
      <c r="D5" s="6" t="s">
        <v>20</v>
      </c>
      <c r="E5" s="6" t="s">
        <v>69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0.74513888888888891</v>
      </c>
      <c r="L5" s="7">
        <v>0.48958333333333331</v>
      </c>
      <c r="M5" s="8">
        <v>0.53125</v>
      </c>
      <c r="N5" s="6" t="s">
        <v>79</v>
      </c>
      <c r="O5" s="6" t="s">
        <v>78</v>
      </c>
      <c r="P5" s="6">
        <v>301</v>
      </c>
      <c r="Q5" s="6">
        <v>1813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f>A5</f>
        <v>44410</v>
      </c>
      <c r="B6" s="6" t="s">
        <v>19</v>
      </c>
      <c r="C6" s="6" t="s">
        <v>65</v>
      </c>
      <c r="D6" s="6" t="s">
        <v>20</v>
      </c>
      <c r="E6" s="6" t="str">
        <f>E5</f>
        <v>HALWG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4">
        <v>0.94652777777777775</v>
      </c>
      <c r="L6" s="3">
        <v>0.73958333333333337</v>
      </c>
      <c r="M6" s="4">
        <v>0.77569444444444446</v>
      </c>
      <c r="N6" s="2" t="s">
        <v>81</v>
      </c>
      <c r="O6" s="2" t="s">
        <v>80</v>
      </c>
      <c r="P6" s="2">
        <v>1427</v>
      </c>
      <c r="Q6" s="2">
        <v>1113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C18" sqref="C18"/>
    </sheetView>
  </sheetViews>
  <sheetFormatPr defaultRowHeight="15" x14ac:dyDescent="0.25"/>
  <cols>
    <col min="2" max="2" width="14.28515625" bestFit="1" customWidth="1"/>
    <col min="3" max="3" width="18.5703125" bestFit="1" customWidth="1"/>
    <col min="6" max="6" width="12.5703125" bestFit="1" customWidth="1"/>
    <col min="10" max="10" width="11" bestFit="1" customWidth="1"/>
    <col min="11" max="11" width="10.85546875" bestFit="1" customWidth="1"/>
    <col min="14" max="14" width="18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  <c r="V1" s="24"/>
    </row>
    <row r="2" spans="1:22" x14ac:dyDescent="0.25">
      <c r="A2" s="5">
        <v>44411</v>
      </c>
      <c r="B2" s="6" t="s">
        <v>19</v>
      </c>
      <c r="C2" s="6" t="s">
        <v>83</v>
      </c>
      <c r="D2" s="6" t="s">
        <v>20</v>
      </c>
      <c r="E2" s="6" t="s">
        <v>70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>
        <v>0.39374999999999999</v>
      </c>
      <c r="L2" s="7">
        <v>0.25694444444444448</v>
      </c>
      <c r="M2" s="8">
        <v>0.28055555555555556</v>
      </c>
      <c r="N2" s="6" t="s">
        <v>111</v>
      </c>
      <c r="O2" s="6" t="s">
        <v>108</v>
      </c>
      <c r="P2" s="6">
        <v>741</v>
      </c>
      <c r="Q2" s="6">
        <v>573</v>
      </c>
      <c r="R2" s="6">
        <v>0</v>
      </c>
      <c r="S2" s="6">
        <v>0</v>
      </c>
      <c r="T2" s="6">
        <v>0</v>
      </c>
      <c r="U2" s="6">
        <v>0</v>
      </c>
      <c r="V2" s="24"/>
    </row>
    <row r="3" spans="1:22" x14ac:dyDescent="0.25">
      <c r="A3" s="5">
        <v>44411</v>
      </c>
      <c r="B3" s="6" t="s">
        <v>19</v>
      </c>
      <c r="C3" s="6" t="s">
        <v>89</v>
      </c>
      <c r="D3" s="6" t="s">
        <v>20</v>
      </c>
      <c r="E3" s="6" t="s">
        <v>69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0.4375</v>
      </c>
      <c r="K3" s="8">
        <v>0.48055555555555557</v>
      </c>
      <c r="L3" s="7">
        <v>0.2638888888888889</v>
      </c>
      <c r="M3" s="8">
        <v>0.30555555555555552</v>
      </c>
      <c r="N3" s="6" t="s">
        <v>112</v>
      </c>
      <c r="O3" s="6" t="s">
        <v>109</v>
      </c>
      <c r="P3" s="6">
        <v>1400</v>
      </c>
      <c r="Q3" s="6">
        <v>1492</v>
      </c>
      <c r="R3" s="6">
        <v>0</v>
      </c>
      <c r="S3" s="6">
        <v>0</v>
      </c>
      <c r="T3" s="6">
        <v>0</v>
      </c>
      <c r="U3" s="6">
        <v>0</v>
      </c>
      <c r="V3" s="24"/>
    </row>
    <row r="4" spans="1:22" x14ac:dyDescent="0.25">
      <c r="A4" s="5">
        <v>44411</v>
      </c>
      <c r="B4" s="6" t="s">
        <v>19</v>
      </c>
      <c r="C4" s="6" t="s">
        <v>86</v>
      </c>
      <c r="D4" s="6" t="s">
        <v>20</v>
      </c>
      <c r="E4" s="6" t="s">
        <v>70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>
        <v>0.6</v>
      </c>
      <c r="L4" s="7">
        <v>0.39583333333333331</v>
      </c>
      <c r="M4" s="8">
        <v>0.42291666666666666</v>
      </c>
      <c r="N4" s="6" t="s">
        <v>114</v>
      </c>
      <c r="O4" s="6" t="s">
        <v>52</v>
      </c>
      <c r="P4" s="6">
        <v>1018</v>
      </c>
      <c r="Q4" s="6">
        <v>1198</v>
      </c>
      <c r="R4" s="6">
        <v>0</v>
      </c>
      <c r="S4" s="6">
        <v>0</v>
      </c>
      <c r="T4" s="6">
        <v>0</v>
      </c>
      <c r="U4" s="6">
        <v>0</v>
      </c>
      <c r="V4" s="24"/>
    </row>
    <row r="5" spans="1:22" x14ac:dyDescent="0.25">
      <c r="A5" s="5">
        <v>44411</v>
      </c>
      <c r="B5" s="6" t="s">
        <v>19</v>
      </c>
      <c r="C5" s="6" t="s">
        <v>92</v>
      </c>
      <c r="D5" s="6" t="s">
        <v>20</v>
      </c>
      <c r="E5" s="6" t="s">
        <v>69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0.67361111111111116</v>
      </c>
      <c r="K5" s="8">
        <v>0.70833333333333337</v>
      </c>
      <c r="L5" s="7">
        <v>0.46875</v>
      </c>
      <c r="M5" s="8">
        <v>0.51597222222222217</v>
      </c>
      <c r="N5" s="6" t="s">
        <v>116</v>
      </c>
      <c r="O5" s="6" t="s">
        <v>113</v>
      </c>
      <c r="P5" s="6">
        <v>1364</v>
      </c>
      <c r="Q5" s="6">
        <v>893</v>
      </c>
      <c r="R5" s="6">
        <v>0</v>
      </c>
      <c r="S5" s="6">
        <v>0</v>
      </c>
      <c r="T5" s="6">
        <v>0</v>
      </c>
      <c r="U5" s="6">
        <v>0</v>
      </c>
      <c r="V5" s="24"/>
    </row>
    <row r="6" spans="1:22" x14ac:dyDescent="0.25">
      <c r="A6" s="5">
        <v>44411</v>
      </c>
      <c r="B6" s="5" t="s">
        <v>19</v>
      </c>
      <c r="C6" s="6" t="s">
        <v>95</v>
      </c>
      <c r="D6" s="6" t="s">
        <v>20</v>
      </c>
      <c r="E6" s="6" t="s">
        <v>70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>
        <v>0.93472222222222223</v>
      </c>
      <c r="L6" s="7">
        <v>0.60069444444444442</v>
      </c>
      <c r="M6" s="8">
        <v>0.63541666666666663</v>
      </c>
      <c r="N6" s="6" t="s">
        <v>119</v>
      </c>
      <c r="O6" s="6" t="s">
        <v>115</v>
      </c>
      <c r="P6" s="6">
        <v>1169</v>
      </c>
      <c r="Q6" s="6">
        <v>955</v>
      </c>
      <c r="R6" s="6">
        <v>0</v>
      </c>
      <c r="S6" s="6">
        <v>0</v>
      </c>
      <c r="T6" s="6">
        <v>0</v>
      </c>
      <c r="U6" s="6">
        <v>0</v>
      </c>
      <c r="V6" s="24"/>
    </row>
    <row r="7" spans="1:22" x14ac:dyDescent="0.25">
      <c r="A7" s="5">
        <v>44411</v>
      </c>
      <c r="B7" s="6" t="s">
        <v>19</v>
      </c>
      <c r="C7" s="6" t="s">
        <v>98</v>
      </c>
      <c r="D7" s="6" t="s">
        <v>20</v>
      </c>
      <c r="E7" s="6" t="s">
        <v>69</v>
      </c>
      <c r="F7" s="6" t="s">
        <v>21</v>
      </c>
      <c r="G7" s="6">
        <v>70000</v>
      </c>
      <c r="H7" s="6" t="s">
        <v>99</v>
      </c>
      <c r="I7" s="6" t="s">
        <v>100</v>
      </c>
      <c r="J7" s="7">
        <v>0.90972222222222221</v>
      </c>
      <c r="K7" s="8">
        <v>0.95416666666666661</v>
      </c>
      <c r="L7" s="7">
        <v>0.69444444444444453</v>
      </c>
      <c r="M7" s="8">
        <v>0.75069444444444444</v>
      </c>
      <c r="N7" s="6" t="s">
        <v>118</v>
      </c>
      <c r="O7" s="6" t="s">
        <v>117</v>
      </c>
      <c r="P7" s="6">
        <v>621</v>
      </c>
      <c r="Q7" s="6">
        <v>2164</v>
      </c>
      <c r="R7" s="6">
        <v>0</v>
      </c>
      <c r="S7" s="6">
        <v>0</v>
      </c>
      <c r="T7" s="6">
        <v>0</v>
      </c>
      <c r="U7" s="6">
        <v>0</v>
      </c>
      <c r="V7" s="24"/>
    </row>
    <row r="8" spans="1:22" s="10" customFormat="1" x14ac:dyDescent="0.25">
      <c r="A8" s="5">
        <v>44411</v>
      </c>
      <c r="B8" s="6" t="s">
        <v>101</v>
      </c>
      <c r="C8" s="6" t="s">
        <v>102</v>
      </c>
      <c r="D8" s="6" t="s">
        <v>20</v>
      </c>
      <c r="E8" s="6" t="s">
        <v>105</v>
      </c>
      <c r="F8" s="6" t="s">
        <v>107</v>
      </c>
      <c r="G8" s="6">
        <v>77000</v>
      </c>
      <c r="H8" s="6" t="s">
        <v>103</v>
      </c>
      <c r="I8" s="6" t="s">
        <v>104</v>
      </c>
      <c r="J8" s="7">
        <v>0.3298611111111111</v>
      </c>
      <c r="K8" s="8">
        <v>0.34097222222222223</v>
      </c>
      <c r="L8" s="7">
        <v>0.37152777777777773</v>
      </c>
      <c r="M8" s="8">
        <v>0.39652777777777781</v>
      </c>
      <c r="N8" s="6" t="s">
        <v>106</v>
      </c>
      <c r="O8" s="6" t="s">
        <v>110</v>
      </c>
      <c r="P8" s="6">
        <v>2398</v>
      </c>
      <c r="Q8" s="6">
        <v>2137</v>
      </c>
      <c r="R8" s="6">
        <v>0</v>
      </c>
      <c r="S8" s="6">
        <v>0</v>
      </c>
      <c r="T8" s="6">
        <v>0</v>
      </c>
      <c r="U8" s="6">
        <v>0</v>
      </c>
      <c r="V8" s="24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B1" workbookViewId="0">
      <selection activeCell="K6" sqref="K6"/>
    </sheetView>
  </sheetViews>
  <sheetFormatPr defaultRowHeight="12.75" x14ac:dyDescent="0.2"/>
  <cols>
    <col min="1" max="1" width="9.140625" style="2"/>
    <col min="2" max="2" width="9.140625" style="2" bestFit="1" customWidth="1"/>
    <col min="3" max="3" width="15.7109375" style="2" bestFit="1" customWidth="1"/>
    <col min="4" max="4" width="5.7109375" style="2" bestFit="1" customWidth="1"/>
    <col min="5" max="5" width="9.140625" style="2"/>
    <col min="6" max="6" width="12.140625" style="2" bestFit="1" customWidth="1"/>
    <col min="7" max="13" width="9.140625" style="2"/>
    <col min="14" max="15" width="18.42578125" style="2" bestFit="1" customWidth="1"/>
    <col min="16" max="16384" width="9.140625" style="2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">
      <c r="A2" s="5">
        <v>44413</v>
      </c>
      <c r="B2" s="6" t="s">
        <v>19</v>
      </c>
      <c r="C2" s="6" t="s">
        <v>95</v>
      </c>
      <c r="D2" s="6" t="s">
        <v>20</v>
      </c>
      <c r="E2" s="6" t="s">
        <v>38</v>
      </c>
      <c r="F2" s="6" t="s">
        <v>21</v>
      </c>
      <c r="G2" s="6">
        <v>70000</v>
      </c>
      <c r="H2" s="6" t="s">
        <v>96</v>
      </c>
      <c r="I2" s="6" t="s">
        <v>97</v>
      </c>
      <c r="J2" s="7">
        <v>0.40972222222222227</v>
      </c>
      <c r="K2" s="16"/>
      <c r="L2" s="7">
        <v>0.25694444444444448</v>
      </c>
      <c r="M2" s="8">
        <v>0.25833333333333336</v>
      </c>
      <c r="N2" s="17" t="s">
        <v>127</v>
      </c>
      <c r="O2" s="6" t="s">
        <v>125</v>
      </c>
      <c r="P2" s="17"/>
      <c r="Q2" s="6">
        <v>741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44413</v>
      </c>
      <c r="B3" s="6" t="s">
        <v>19</v>
      </c>
      <c r="C3" s="6" t="s">
        <v>86</v>
      </c>
      <c r="D3" s="6" t="s">
        <v>20</v>
      </c>
      <c r="E3" s="6" t="s">
        <v>124</v>
      </c>
      <c r="F3" s="6" t="s">
        <v>21</v>
      </c>
      <c r="G3" s="6">
        <v>70000</v>
      </c>
      <c r="H3" s="6" t="s">
        <v>87</v>
      </c>
      <c r="I3" s="6" t="s">
        <v>88</v>
      </c>
      <c r="J3" s="7">
        <v>0.67013888888888884</v>
      </c>
      <c r="K3" s="8">
        <v>0.67986111111111114</v>
      </c>
      <c r="L3" s="7">
        <v>0.27083333333333331</v>
      </c>
      <c r="M3" s="8">
        <v>0.27986111111111112</v>
      </c>
      <c r="N3" s="6" t="s">
        <v>131</v>
      </c>
      <c r="O3" s="6" t="s">
        <v>126</v>
      </c>
      <c r="P3" s="6">
        <v>1074</v>
      </c>
      <c r="Q3" s="6">
        <v>1233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44413</v>
      </c>
      <c r="B4" s="6" t="s">
        <v>19</v>
      </c>
      <c r="C4" s="6" t="s">
        <v>92</v>
      </c>
      <c r="D4" s="6" t="s">
        <v>20</v>
      </c>
      <c r="E4" s="6" t="s">
        <v>38</v>
      </c>
      <c r="F4" s="6" t="s">
        <v>21</v>
      </c>
      <c r="G4" s="6">
        <v>70000</v>
      </c>
      <c r="H4" s="6" t="s">
        <v>93</v>
      </c>
      <c r="I4" s="6" t="s">
        <v>94</v>
      </c>
      <c r="J4" s="7">
        <v>0.67361111111111116</v>
      </c>
      <c r="K4" s="8">
        <v>0.72499999999999998</v>
      </c>
      <c r="L4" s="7">
        <v>0.46875</v>
      </c>
      <c r="M4" s="8">
        <v>0.54305555555555551</v>
      </c>
      <c r="N4" s="6" t="s">
        <v>132</v>
      </c>
      <c r="O4" s="6" t="s">
        <v>130</v>
      </c>
      <c r="P4" s="6">
        <v>1029</v>
      </c>
      <c r="Q4" s="6">
        <v>1210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v>44413</v>
      </c>
      <c r="B5" s="5" t="s">
        <v>19</v>
      </c>
      <c r="C5" s="6" t="s">
        <v>22</v>
      </c>
      <c r="D5" s="6" t="s">
        <v>20</v>
      </c>
      <c r="E5" s="6" t="str">
        <f>E4</f>
        <v>HA-LWG</v>
      </c>
      <c r="F5" s="6" t="s">
        <v>21</v>
      </c>
      <c r="G5" s="6">
        <v>70000</v>
      </c>
      <c r="H5" s="6" t="s">
        <v>23</v>
      </c>
      <c r="I5" s="6" t="s">
        <v>24</v>
      </c>
      <c r="J5" s="7">
        <v>0.90277777777777779</v>
      </c>
      <c r="K5" s="8">
        <v>0.92152777777777783</v>
      </c>
      <c r="L5" s="7">
        <v>0.70833333333333337</v>
      </c>
      <c r="M5" s="8">
        <v>0.75416666666666676</v>
      </c>
      <c r="N5" s="6" t="s">
        <v>136</v>
      </c>
      <c r="O5" s="6" t="s">
        <v>134</v>
      </c>
      <c r="P5" s="6">
        <v>1182</v>
      </c>
      <c r="Q5" s="6">
        <v>1439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>
        <v>44413</v>
      </c>
      <c r="B6" s="2" t="s">
        <v>123</v>
      </c>
      <c r="C6" s="2" t="s">
        <v>30</v>
      </c>
      <c r="D6" s="2" t="s">
        <v>20</v>
      </c>
      <c r="E6" s="2" t="s">
        <v>124</v>
      </c>
      <c r="F6" s="2" t="s">
        <v>21</v>
      </c>
      <c r="G6" s="14">
        <v>70000</v>
      </c>
      <c r="H6" s="2" t="s">
        <v>32</v>
      </c>
      <c r="I6" s="2" t="s">
        <v>31</v>
      </c>
      <c r="J6" s="3">
        <v>0.90972222222222221</v>
      </c>
      <c r="K6" s="4">
        <v>0.9375</v>
      </c>
      <c r="L6" s="3">
        <v>0.69444444444444453</v>
      </c>
      <c r="M6" s="4">
        <v>0.72152777777777777</v>
      </c>
      <c r="N6" s="2" t="s">
        <v>135</v>
      </c>
      <c r="O6" s="2" t="s">
        <v>133</v>
      </c>
      <c r="P6" s="2">
        <v>563</v>
      </c>
      <c r="Q6" s="2">
        <v>1591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44413</v>
      </c>
      <c r="B7" s="6" t="s">
        <v>19</v>
      </c>
      <c r="C7" s="6" t="s">
        <v>128</v>
      </c>
      <c r="D7" s="6" t="s">
        <v>20</v>
      </c>
      <c r="E7" s="6" t="s">
        <v>38</v>
      </c>
      <c r="F7" s="6" t="s">
        <v>129</v>
      </c>
      <c r="G7" s="6">
        <v>70000</v>
      </c>
      <c r="H7" s="6" t="s">
        <v>96</v>
      </c>
      <c r="I7" s="6" t="s">
        <v>48</v>
      </c>
      <c r="J7" s="7">
        <v>0.48958333333333331</v>
      </c>
      <c r="K7" s="18">
        <v>0.51180555555555551</v>
      </c>
      <c r="L7" s="19" t="s">
        <v>48</v>
      </c>
      <c r="M7" s="18" t="s">
        <v>48</v>
      </c>
      <c r="N7" s="20">
        <v>0</v>
      </c>
      <c r="O7" s="20" t="s">
        <v>48</v>
      </c>
      <c r="P7" s="20">
        <v>0</v>
      </c>
      <c r="Q7" s="20" t="s">
        <v>48</v>
      </c>
      <c r="R7" s="6">
        <v>0</v>
      </c>
      <c r="S7" s="6" t="s">
        <v>48</v>
      </c>
      <c r="T7" s="6">
        <v>0</v>
      </c>
      <c r="U7" s="6" t="s">
        <v>48</v>
      </c>
    </row>
    <row r="8" spans="1:21" x14ac:dyDescent="0.2">
      <c r="A8" s="15"/>
      <c r="J8" s="3"/>
      <c r="K8" s="4"/>
      <c r="L8" s="4"/>
      <c r="M8" s="4"/>
    </row>
    <row r="9" spans="1:21" x14ac:dyDescent="0.2">
      <c r="A9" s="15"/>
      <c r="J9" s="4"/>
      <c r="K9" s="4"/>
      <c r="L9" s="4"/>
      <c r="M9" s="4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F21" sqref="F21"/>
    </sheetView>
  </sheetViews>
  <sheetFormatPr defaultRowHeight="15" x14ac:dyDescent="0.25"/>
  <cols>
    <col min="1" max="1" width="10.140625" bestFit="1" customWidth="1"/>
    <col min="3" max="3" width="13.57031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44414</v>
      </c>
      <c r="B2" s="6" t="s">
        <v>19</v>
      </c>
      <c r="C2" s="6" t="s">
        <v>25</v>
      </c>
      <c r="D2" s="6" t="s">
        <v>20</v>
      </c>
      <c r="E2" s="6" t="s">
        <v>124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0.44513888888888892</v>
      </c>
      <c r="L2" s="7">
        <v>0.25694444444444448</v>
      </c>
      <c r="M2" s="8">
        <v>0.25486111111111109</v>
      </c>
      <c r="N2" s="6" t="s">
        <v>140</v>
      </c>
      <c r="O2" s="6" t="s">
        <v>138</v>
      </c>
      <c r="P2" s="6">
        <v>622</v>
      </c>
      <c r="Q2" s="6">
        <v>1796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f>A2</f>
        <v>44414</v>
      </c>
      <c r="B3" s="5" t="s">
        <v>19</v>
      </c>
      <c r="C3" s="6" t="s">
        <v>68</v>
      </c>
      <c r="D3" s="6" t="s">
        <v>20</v>
      </c>
      <c r="E3" s="6" t="s">
        <v>38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v>0.4284722222222222</v>
      </c>
      <c r="L3" s="7">
        <v>0.27083333333333331</v>
      </c>
      <c r="M3" s="8">
        <v>0.2722222222222222</v>
      </c>
      <c r="N3" s="6" t="s">
        <v>131</v>
      </c>
      <c r="O3" s="6" t="s">
        <v>139</v>
      </c>
      <c r="P3" s="6">
        <v>1148</v>
      </c>
      <c r="Q3" s="6">
        <v>820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>A3</f>
        <v>44414</v>
      </c>
      <c r="B4" s="6" t="s">
        <v>19</v>
      </c>
      <c r="C4" s="6" t="s">
        <v>59</v>
      </c>
      <c r="D4" s="6" t="s">
        <v>20</v>
      </c>
      <c r="E4" s="6" t="s">
        <v>38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0.93194444444444446</v>
      </c>
      <c r="L4" s="7">
        <v>0.46875</v>
      </c>
      <c r="M4" s="8">
        <v>0.4777777777777778</v>
      </c>
      <c r="N4" s="6" t="s">
        <v>146</v>
      </c>
      <c r="O4" s="6" t="s">
        <v>141</v>
      </c>
      <c r="P4" s="6">
        <v>1160</v>
      </c>
      <c r="Q4" s="6">
        <v>1481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f>A4</f>
        <v>44414</v>
      </c>
      <c r="B5" s="6" t="s">
        <v>19</v>
      </c>
      <c r="C5" s="6" t="s">
        <v>62</v>
      </c>
      <c r="D5" s="6" t="s">
        <v>20</v>
      </c>
      <c r="E5" s="6" t="s">
        <v>124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0.72916666666666663</v>
      </c>
      <c r="L5" s="7">
        <v>0.48958333333333331</v>
      </c>
      <c r="M5" s="8">
        <v>0.50555555555555554</v>
      </c>
      <c r="N5" s="6" t="s">
        <v>143</v>
      </c>
      <c r="O5" s="6" t="s">
        <v>142</v>
      </c>
      <c r="P5" s="6">
        <v>901</v>
      </c>
      <c r="Q5" s="6">
        <v>1975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f>A5</f>
        <v>44414</v>
      </c>
      <c r="B6" s="6" t="s">
        <v>19</v>
      </c>
      <c r="C6" s="6" t="s">
        <v>65</v>
      </c>
      <c r="D6" s="6" t="s">
        <v>20</v>
      </c>
      <c r="E6" s="6" t="s">
        <v>124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4">
        <v>0.93611111111111101</v>
      </c>
      <c r="L6" s="3">
        <v>0.73958333333333337</v>
      </c>
      <c r="M6" s="4">
        <v>0.7631944444444444</v>
      </c>
      <c r="N6" s="2" t="s">
        <v>147</v>
      </c>
      <c r="O6" s="2" t="s">
        <v>121</v>
      </c>
      <c r="P6" s="2">
        <v>1226</v>
      </c>
      <c r="Q6" s="2">
        <v>1488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5">
        <v>44414</v>
      </c>
      <c r="B7" s="6" t="s">
        <v>101</v>
      </c>
      <c r="C7" s="6" t="s">
        <v>102</v>
      </c>
      <c r="D7" s="6" t="s">
        <v>20</v>
      </c>
      <c r="E7" s="6" t="s">
        <v>145</v>
      </c>
      <c r="F7" s="6" t="s">
        <v>137</v>
      </c>
      <c r="G7" s="6">
        <v>77000</v>
      </c>
      <c r="H7" s="6" t="s">
        <v>103</v>
      </c>
      <c r="I7" s="6" t="s">
        <v>104</v>
      </c>
      <c r="J7" s="8">
        <v>0.3298611111111111</v>
      </c>
      <c r="K7" s="8">
        <v>0.71458333333333324</v>
      </c>
      <c r="L7" s="8">
        <v>0.37152777777777773</v>
      </c>
      <c r="M7" s="21">
        <v>0.76874999999999993</v>
      </c>
      <c r="N7" s="6" t="s">
        <v>121</v>
      </c>
      <c r="O7" s="6" t="s">
        <v>144</v>
      </c>
      <c r="P7" s="6">
        <v>2444</v>
      </c>
      <c r="Q7" s="6">
        <v>2081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J18" sqref="J18"/>
    </sheetView>
  </sheetViews>
  <sheetFormatPr defaultRowHeight="15" x14ac:dyDescent="0.25"/>
  <cols>
    <col min="1" max="1" width="10.140625" bestFit="1" customWidth="1"/>
    <col min="3" max="3" width="13.5703125" customWidth="1"/>
  </cols>
  <sheetData>
    <row r="1" spans="1:21" s="2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s="2" customFormat="1" ht="12.75" x14ac:dyDescent="0.2">
      <c r="A2" s="5">
        <v>44415</v>
      </c>
      <c r="B2" s="6" t="s">
        <v>19</v>
      </c>
      <c r="C2" s="6" t="s">
        <v>83</v>
      </c>
      <c r="D2" s="6" t="s">
        <v>20</v>
      </c>
      <c r="E2" s="6" t="s">
        <v>69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>
        <v>0.38055555555555554</v>
      </c>
      <c r="L2" s="7">
        <v>0.25694444444444448</v>
      </c>
      <c r="M2" s="8">
        <v>0.26597222222222222</v>
      </c>
      <c r="N2" s="6" t="s">
        <v>150</v>
      </c>
      <c r="O2" s="6" t="s">
        <v>148</v>
      </c>
      <c r="P2" s="6">
        <v>897</v>
      </c>
      <c r="Q2" s="6">
        <v>928</v>
      </c>
      <c r="R2" s="6">
        <v>0</v>
      </c>
      <c r="S2" s="6">
        <v>0</v>
      </c>
      <c r="T2" s="6">
        <v>0</v>
      </c>
      <c r="U2" s="6">
        <v>0</v>
      </c>
    </row>
    <row r="3" spans="1:21" s="2" customFormat="1" ht="12.75" x14ac:dyDescent="0.2">
      <c r="A3" s="5">
        <v>44415</v>
      </c>
      <c r="B3" s="6" t="s">
        <v>19</v>
      </c>
      <c r="C3" s="6" t="s">
        <v>89</v>
      </c>
      <c r="D3" s="6" t="s">
        <v>20</v>
      </c>
      <c r="E3" s="6" t="s">
        <v>158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0.4375</v>
      </c>
      <c r="K3" s="8">
        <v>0.44930555555555557</v>
      </c>
      <c r="L3" s="7">
        <v>0.2638888888888889</v>
      </c>
      <c r="M3" s="8">
        <v>0.27847222222222223</v>
      </c>
      <c r="N3" s="6" t="s">
        <v>152</v>
      </c>
      <c r="O3" s="6" t="s">
        <v>149</v>
      </c>
      <c r="P3" s="6">
        <v>1316</v>
      </c>
      <c r="Q3" s="6">
        <v>1552</v>
      </c>
      <c r="R3" s="6">
        <v>0</v>
      </c>
      <c r="S3" s="6">
        <v>0</v>
      </c>
      <c r="T3" s="6">
        <v>0</v>
      </c>
      <c r="U3" s="6">
        <v>0</v>
      </c>
    </row>
    <row r="4" spans="1:21" s="2" customFormat="1" ht="12.75" x14ac:dyDescent="0.2">
      <c r="A4" s="5">
        <v>44415</v>
      </c>
      <c r="B4" s="6" t="s">
        <v>19</v>
      </c>
      <c r="C4" s="6" t="s">
        <v>86</v>
      </c>
      <c r="D4" s="6" t="s">
        <v>20</v>
      </c>
      <c r="E4" s="6" t="s">
        <v>69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>
        <v>0.58263888888888882</v>
      </c>
      <c r="L4" s="7">
        <v>0.39583333333333331</v>
      </c>
      <c r="M4" s="8">
        <v>0.41875000000000001</v>
      </c>
      <c r="N4" s="6" t="s">
        <v>154</v>
      </c>
      <c r="O4" s="6" t="s">
        <v>151</v>
      </c>
      <c r="P4" s="6">
        <v>1423</v>
      </c>
      <c r="Q4" s="6">
        <v>1937</v>
      </c>
      <c r="R4" s="6">
        <v>0</v>
      </c>
      <c r="S4" s="6">
        <v>0</v>
      </c>
      <c r="T4" s="6">
        <v>0</v>
      </c>
      <c r="U4" s="6">
        <v>0</v>
      </c>
    </row>
    <row r="5" spans="1:21" s="2" customFormat="1" ht="12.75" x14ac:dyDescent="0.2">
      <c r="A5" s="5">
        <v>44415</v>
      </c>
      <c r="B5" s="6" t="s">
        <v>19</v>
      </c>
      <c r="C5" s="6" t="s">
        <v>92</v>
      </c>
      <c r="D5" s="6" t="s">
        <v>20</v>
      </c>
      <c r="E5" s="6" t="s">
        <v>158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0.67361111111111116</v>
      </c>
      <c r="K5" s="8">
        <v>0.70763888888888893</v>
      </c>
      <c r="L5" s="7">
        <v>0.46875</v>
      </c>
      <c r="M5" s="8">
        <v>0.49444444444444446</v>
      </c>
      <c r="N5" s="6" t="s">
        <v>156</v>
      </c>
      <c r="O5" s="6" t="s">
        <v>153</v>
      </c>
      <c r="P5" s="6">
        <v>1330</v>
      </c>
      <c r="Q5" s="6">
        <v>1418</v>
      </c>
      <c r="R5" s="6">
        <v>0</v>
      </c>
      <c r="S5" s="6">
        <v>0</v>
      </c>
      <c r="T5" s="6">
        <v>0</v>
      </c>
      <c r="U5" s="6">
        <v>0</v>
      </c>
    </row>
    <row r="6" spans="1:21" s="2" customFormat="1" ht="12.75" x14ac:dyDescent="0.2">
      <c r="A6" s="5">
        <v>44415</v>
      </c>
      <c r="B6" s="5" t="s">
        <v>19</v>
      </c>
      <c r="C6" s="6" t="s">
        <v>95</v>
      </c>
      <c r="D6" s="6" t="s">
        <v>20</v>
      </c>
      <c r="E6" s="6" t="s">
        <v>69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>
        <v>1.3194444444444444E-2</v>
      </c>
      <c r="L6" s="7">
        <v>0.60069444444444442</v>
      </c>
      <c r="M6" s="8">
        <v>0.61944444444444446</v>
      </c>
      <c r="N6" s="6" t="s">
        <v>165</v>
      </c>
      <c r="O6" s="6" t="s">
        <v>155</v>
      </c>
      <c r="P6" s="6">
        <v>1187</v>
      </c>
      <c r="Q6" s="6">
        <v>1302</v>
      </c>
      <c r="R6" s="6">
        <v>0</v>
      </c>
      <c r="S6" s="6">
        <v>0</v>
      </c>
      <c r="T6" s="6">
        <v>0</v>
      </c>
      <c r="U6" s="6">
        <v>0</v>
      </c>
    </row>
    <row r="7" spans="1:21" s="2" customFormat="1" ht="12.75" x14ac:dyDescent="0.2">
      <c r="A7" s="5">
        <v>44415</v>
      </c>
      <c r="B7" s="6" t="s">
        <v>19</v>
      </c>
      <c r="C7" s="6" t="s">
        <v>98</v>
      </c>
      <c r="D7" s="6" t="s">
        <v>20</v>
      </c>
      <c r="E7" s="6" t="str">
        <f>E5</f>
        <v>HALPN</v>
      </c>
      <c r="F7" s="6" t="s">
        <v>21</v>
      </c>
      <c r="G7" s="6">
        <v>70000</v>
      </c>
      <c r="H7" s="6" t="s">
        <v>99</v>
      </c>
      <c r="I7" s="6" t="s">
        <v>100</v>
      </c>
      <c r="J7" s="7">
        <v>0.90972222222222221</v>
      </c>
      <c r="K7" s="8">
        <v>0.95763888888888893</v>
      </c>
      <c r="L7" s="7">
        <v>0.69444444444444453</v>
      </c>
      <c r="M7" s="8">
        <v>0.75208333333333333</v>
      </c>
      <c r="N7" s="6" t="s">
        <v>164</v>
      </c>
      <c r="O7" s="6" t="s">
        <v>157</v>
      </c>
      <c r="P7" s="6">
        <v>460</v>
      </c>
      <c r="Q7" s="6">
        <v>2281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5">
        <v>44415</v>
      </c>
      <c r="B8" s="6" t="s">
        <v>159</v>
      </c>
      <c r="C8" s="6" t="s">
        <v>160</v>
      </c>
      <c r="D8" s="6" t="s">
        <v>161</v>
      </c>
      <c r="E8" s="6" t="s">
        <v>162</v>
      </c>
      <c r="F8" s="6" t="s">
        <v>163</v>
      </c>
      <c r="G8" s="6">
        <v>2000</v>
      </c>
      <c r="H8" s="6"/>
      <c r="I8" s="6"/>
      <c r="J8" s="8">
        <v>0.75</v>
      </c>
      <c r="K8" s="8">
        <v>0.73958333333333337</v>
      </c>
      <c r="L8" s="8">
        <v>0.77083333333333337</v>
      </c>
      <c r="M8" s="8">
        <v>0.75555555555555554</v>
      </c>
      <c r="N8" s="6"/>
      <c r="O8" s="6"/>
      <c r="P8" s="6"/>
      <c r="Q8" s="6"/>
      <c r="R8" s="6"/>
      <c r="S8" s="6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>
      <selection sqref="A1:XFD6"/>
    </sheetView>
  </sheetViews>
  <sheetFormatPr defaultRowHeight="15" x14ac:dyDescent="0.25"/>
  <cols>
    <col min="1" max="1" width="9.42578125" customWidth="1"/>
    <col min="2" max="2" width="12.5703125" customWidth="1"/>
    <col min="3" max="3" width="13.5703125" bestFit="1" customWidth="1"/>
    <col min="4" max="4" width="13.85546875" customWidth="1"/>
    <col min="6" max="6" width="14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5">
        <v>44416</v>
      </c>
      <c r="B2" s="6" t="s">
        <v>19</v>
      </c>
      <c r="C2" s="6" t="s">
        <v>34</v>
      </c>
      <c r="D2" s="6" t="s">
        <v>20</v>
      </c>
      <c r="E2" s="6" t="s">
        <v>124</v>
      </c>
      <c r="F2" s="2" t="s">
        <v>21</v>
      </c>
      <c r="G2" s="2">
        <v>70000</v>
      </c>
      <c r="H2" s="6" t="s">
        <v>26</v>
      </c>
      <c r="I2" s="6" t="s">
        <v>27</v>
      </c>
      <c r="J2" s="3">
        <v>0.40625</v>
      </c>
      <c r="K2" s="4">
        <v>0.40277777777777773</v>
      </c>
      <c r="L2" s="3">
        <v>0.25694444444444448</v>
      </c>
      <c r="M2" s="4">
        <v>0.26041666666666669</v>
      </c>
      <c r="N2" s="6" t="s">
        <v>167</v>
      </c>
      <c r="O2" s="2" t="s">
        <v>166</v>
      </c>
      <c r="P2" s="2">
        <v>957</v>
      </c>
      <c r="Q2" s="2">
        <v>1364</v>
      </c>
      <c r="R2" s="2">
        <v>0</v>
      </c>
      <c r="S2" s="2">
        <v>0</v>
      </c>
      <c r="T2" s="2">
        <v>0</v>
      </c>
    </row>
    <row r="3" spans="1:20" x14ac:dyDescent="0.25">
      <c r="A3" s="5">
        <v>44416</v>
      </c>
      <c r="B3" s="6" t="s">
        <v>19</v>
      </c>
      <c r="C3" s="6" t="s">
        <v>25</v>
      </c>
      <c r="D3" s="6" t="s">
        <v>20</v>
      </c>
      <c r="E3" s="2" t="s">
        <v>124</v>
      </c>
      <c r="F3" s="6" t="s">
        <v>21</v>
      </c>
      <c r="G3" s="6">
        <v>70000</v>
      </c>
      <c r="H3" s="6" t="s">
        <v>35</v>
      </c>
      <c r="I3" s="6" t="s">
        <v>36</v>
      </c>
      <c r="J3" s="7">
        <v>0.62847222222222221</v>
      </c>
      <c r="K3" s="8">
        <v>0.62222222222222223</v>
      </c>
      <c r="L3" s="7">
        <v>0.42708333333333331</v>
      </c>
      <c r="M3" s="8">
        <v>0.4381944444444445</v>
      </c>
      <c r="N3" s="6" t="s">
        <v>169</v>
      </c>
      <c r="O3" s="6" t="s">
        <v>110</v>
      </c>
      <c r="P3" s="6">
        <v>571</v>
      </c>
      <c r="Q3" s="6">
        <v>2088</v>
      </c>
      <c r="R3" s="2">
        <v>0</v>
      </c>
      <c r="S3" s="2">
        <v>0</v>
      </c>
      <c r="T3" s="2">
        <v>0</v>
      </c>
    </row>
    <row r="4" spans="1:20" x14ac:dyDescent="0.25">
      <c r="A4" s="5">
        <v>44416</v>
      </c>
      <c r="B4" s="6" t="s">
        <v>19</v>
      </c>
      <c r="C4" s="6" t="s">
        <v>29</v>
      </c>
      <c r="D4" s="6" t="s">
        <v>20</v>
      </c>
      <c r="E4" s="2" t="s">
        <v>38</v>
      </c>
      <c r="F4" s="6" t="s">
        <v>21</v>
      </c>
      <c r="G4" s="6">
        <v>70000</v>
      </c>
      <c r="H4" s="6" t="s">
        <v>33</v>
      </c>
      <c r="I4" s="6" t="s">
        <v>37</v>
      </c>
      <c r="J4" s="7">
        <v>0.70486111111111116</v>
      </c>
      <c r="K4" s="8">
        <v>0.69374999999999998</v>
      </c>
      <c r="L4" s="7">
        <v>0.46875</v>
      </c>
      <c r="M4" s="8">
        <v>0.46736111111111112</v>
      </c>
      <c r="N4" s="6" t="s">
        <v>170</v>
      </c>
      <c r="O4" s="2" t="s">
        <v>168</v>
      </c>
      <c r="P4" s="2">
        <v>882</v>
      </c>
      <c r="Q4" s="2">
        <v>2108</v>
      </c>
      <c r="R4" s="2">
        <v>0</v>
      </c>
      <c r="S4" s="2">
        <v>0</v>
      </c>
      <c r="T4" s="2">
        <v>0</v>
      </c>
    </row>
    <row r="5" spans="1:20" x14ac:dyDescent="0.25">
      <c r="A5" s="5">
        <v>44416</v>
      </c>
      <c r="B5" s="6" t="s">
        <v>19</v>
      </c>
      <c r="C5" s="6" t="s">
        <v>22</v>
      </c>
      <c r="D5" s="6" t="s">
        <v>20</v>
      </c>
      <c r="E5" s="6" t="s">
        <v>124</v>
      </c>
      <c r="F5" s="6" t="s">
        <v>21</v>
      </c>
      <c r="G5" s="6">
        <v>70000</v>
      </c>
      <c r="H5" s="6" t="s">
        <v>23</v>
      </c>
      <c r="I5" s="6" t="s">
        <v>24</v>
      </c>
      <c r="J5" s="3">
        <v>0.90625</v>
      </c>
      <c r="K5" s="4">
        <v>0.92222222222222217</v>
      </c>
      <c r="L5" s="3">
        <v>0.71527777777777779</v>
      </c>
      <c r="M5" s="4">
        <v>0.72430555555555554</v>
      </c>
      <c r="N5" s="2" t="s">
        <v>173</v>
      </c>
      <c r="O5" s="2" t="s">
        <v>171</v>
      </c>
      <c r="P5" s="2">
        <v>1394</v>
      </c>
      <c r="Q5" s="2">
        <v>1510</v>
      </c>
      <c r="R5" s="2">
        <v>0</v>
      </c>
      <c r="S5" s="2">
        <v>0</v>
      </c>
      <c r="T5" s="2">
        <v>0</v>
      </c>
    </row>
    <row r="6" spans="1:20" x14ac:dyDescent="0.25">
      <c r="A6" s="5">
        <v>44416</v>
      </c>
      <c r="B6" s="6" t="s">
        <v>19</v>
      </c>
      <c r="C6" s="6" t="s">
        <v>30</v>
      </c>
      <c r="D6" s="6" t="s">
        <v>20</v>
      </c>
      <c r="E6" s="6" t="s">
        <v>38</v>
      </c>
      <c r="F6" s="6" t="s">
        <v>21</v>
      </c>
      <c r="G6" s="6">
        <v>70000</v>
      </c>
      <c r="H6" s="6" t="s">
        <v>32</v>
      </c>
      <c r="I6" s="6" t="s">
        <v>31</v>
      </c>
      <c r="J6" s="7">
        <v>0.94097222222222221</v>
      </c>
      <c r="K6" s="8">
        <v>0.94097222222222221</v>
      </c>
      <c r="L6" s="7">
        <v>0.72569444444444453</v>
      </c>
      <c r="M6" s="8">
        <v>0.74097222222222225</v>
      </c>
      <c r="N6" s="6" t="s">
        <v>174</v>
      </c>
      <c r="O6" s="2" t="s">
        <v>172</v>
      </c>
      <c r="P6" s="2">
        <v>685</v>
      </c>
      <c r="Q6" s="2">
        <v>1557</v>
      </c>
      <c r="R6" s="2">
        <v>0</v>
      </c>
      <c r="S6" s="2">
        <v>0</v>
      </c>
      <c r="T6" s="2">
        <v>0</v>
      </c>
    </row>
    <row r="7" spans="1:20" x14ac:dyDescent="0.25">
      <c r="A7" s="5"/>
      <c r="B7" s="6"/>
      <c r="C7" s="6"/>
      <c r="D7" s="6"/>
      <c r="E7" s="6"/>
      <c r="F7" s="6"/>
      <c r="G7" s="6"/>
      <c r="H7" s="6"/>
      <c r="I7" s="6"/>
      <c r="J7" s="7"/>
      <c r="K7" s="8"/>
      <c r="L7" s="7"/>
      <c r="M7" s="8"/>
      <c r="N7" s="6"/>
      <c r="O7" s="6"/>
      <c r="P7" s="6"/>
      <c r="Q7" s="6"/>
      <c r="R7" s="2"/>
      <c r="S7" s="2"/>
      <c r="T7" s="2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0" x14ac:dyDescent="0.25">
      <c r="A13" s="6"/>
      <c r="B13" s="6"/>
      <c r="C13" s="6"/>
      <c r="D13" s="6"/>
      <c r="E13" s="2"/>
      <c r="F13" s="2"/>
      <c r="G13" s="6"/>
      <c r="H13" s="6"/>
      <c r="I13" s="3"/>
      <c r="J13" s="4"/>
      <c r="K13" s="3"/>
      <c r="L13" s="4"/>
      <c r="M13" s="6"/>
      <c r="N13" s="2"/>
      <c r="O13" s="2"/>
      <c r="P13" s="2"/>
      <c r="Q13" s="2"/>
      <c r="R13" s="2"/>
      <c r="S13" s="2"/>
    </row>
    <row r="14" spans="1:20" x14ac:dyDescent="0.25">
      <c r="A14" s="6"/>
      <c r="B14" s="6"/>
      <c r="C14" s="6"/>
      <c r="D14" s="2"/>
      <c r="E14" s="6"/>
      <c r="F14" s="6"/>
      <c r="G14" s="6"/>
      <c r="H14" s="6"/>
      <c r="I14" s="7"/>
      <c r="J14" s="8"/>
      <c r="K14" s="7"/>
      <c r="L14" s="8"/>
      <c r="M14" s="6"/>
      <c r="N14" s="6"/>
      <c r="O14" s="6"/>
      <c r="P14" s="6"/>
      <c r="Q14" s="2"/>
      <c r="R14" s="2"/>
      <c r="S14" s="2"/>
    </row>
    <row r="15" spans="1:20" x14ac:dyDescent="0.25">
      <c r="A15" s="6"/>
      <c r="B15" s="6"/>
      <c r="C15" s="6"/>
      <c r="D15" s="2"/>
      <c r="E15" s="6"/>
      <c r="F15" s="6"/>
      <c r="G15" s="6"/>
      <c r="H15" s="6"/>
      <c r="I15" s="7"/>
      <c r="J15" s="8"/>
      <c r="K15" s="7"/>
      <c r="L15" s="8"/>
      <c r="M15" s="6"/>
      <c r="N15" s="2"/>
      <c r="O15" s="2"/>
      <c r="P15" s="2"/>
      <c r="Q15" s="2"/>
      <c r="R15" s="2"/>
      <c r="S15" s="2"/>
    </row>
    <row r="16" spans="1:20" x14ac:dyDescent="0.25">
      <c r="A16" s="6"/>
      <c r="B16" s="6"/>
      <c r="C16" s="6"/>
      <c r="D16" s="6"/>
      <c r="E16" s="6"/>
      <c r="F16" s="6"/>
      <c r="G16" s="6"/>
      <c r="H16" s="6"/>
      <c r="I16" s="3"/>
      <c r="J16" s="4"/>
      <c r="K16" s="3"/>
      <c r="L16" s="4"/>
      <c r="M16" s="2"/>
      <c r="N16" s="2"/>
      <c r="O16" s="2"/>
      <c r="P16" s="2"/>
      <c r="Q16" s="2"/>
      <c r="R16" s="2"/>
      <c r="S16" s="2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7"/>
      <c r="J17" s="8"/>
      <c r="K17" s="7"/>
      <c r="L17" s="8"/>
      <c r="M17" s="6"/>
      <c r="N17" s="2"/>
      <c r="O17" s="2"/>
      <c r="P17" s="2"/>
      <c r="Q17" s="2"/>
      <c r="R17" s="2"/>
      <c r="S17" s="2"/>
    </row>
    <row r="18" spans="1:19" x14ac:dyDescent="0.25">
      <c r="A18" s="6"/>
      <c r="B18" s="6"/>
      <c r="C18" s="6"/>
      <c r="D18" s="6"/>
      <c r="E18" s="6"/>
      <c r="F18" s="6"/>
      <c r="G18" s="6"/>
      <c r="H18" s="6"/>
      <c r="I18" s="7"/>
      <c r="J18" s="8"/>
      <c r="K18" s="7"/>
      <c r="L18" s="8"/>
      <c r="M18" s="6"/>
      <c r="N18" s="6"/>
      <c r="O18" s="6"/>
      <c r="P18" s="6"/>
      <c r="Q18" s="2"/>
      <c r="R18" s="2"/>
      <c r="S1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7" sqref="A7:M7"/>
    </sheetView>
  </sheetViews>
  <sheetFormatPr defaultRowHeight="14.45" customHeight="1" x14ac:dyDescent="0.2"/>
  <cols>
    <col min="1" max="1" width="8.5703125" style="2" customWidth="1"/>
    <col min="2" max="2" width="21.85546875" style="2" bestFit="1" customWidth="1"/>
    <col min="3" max="3" width="13.5703125" style="2" bestFit="1" customWidth="1"/>
    <col min="4" max="5" width="9.140625" style="2"/>
    <col min="6" max="6" width="12.140625" style="2" bestFit="1" customWidth="1"/>
    <col min="7" max="9" width="9.140625" style="2"/>
    <col min="10" max="10" width="11" style="2" bestFit="1" customWidth="1"/>
    <col min="11" max="11" width="10.85546875" style="2" bestFit="1" customWidth="1"/>
    <col min="12" max="12" width="11" style="2" bestFit="1" customWidth="1"/>
    <col min="13" max="13" width="10.85546875" style="2" bestFit="1" customWidth="1"/>
    <col min="14" max="14" width="13.28515625" style="2" customWidth="1"/>
    <col min="15" max="15" width="16.28515625" style="2" customWidth="1"/>
    <col min="16" max="16384" width="9.140625" style="2"/>
  </cols>
  <sheetData>
    <row r="1" spans="1:21" ht="14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ht="14.45" customHeight="1" x14ac:dyDescent="0.2">
      <c r="A2" s="5">
        <v>44417</v>
      </c>
      <c r="B2" s="6" t="s">
        <v>19</v>
      </c>
      <c r="C2" s="6" t="s">
        <v>25</v>
      </c>
      <c r="D2" s="6" t="s">
        <v>20</v>
      </c>
      <c r="E2" s="6" t="s">
        <v>158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0.44513888888888892</v>
      </c>
      <c r="L2" s="7">
        <v>0.25694444444444448</v>
      </c>
      <c r="M2" s="8">
        <v>0.25763888888888892</v>
      </c>
      <c r="N2" s="6" t="s">
        <v>177</v>
      </c>
      <c r="O2" s="6" t="s">
        <v>175</v>
      </c>
      <c r="P2" s="6">
        <v>289</v>
      </c>
      <c r="Q2" s="6">
        <v>1628</v>
      </c>
      <c r="R2" s="2">
        <v>0</v>
      </c>
      <c r="S2" s="2">
        <v>0</v>
      </c>
      <c r="T2" s="2">
        <v>0</v>
      </c>
      <c r="U2" s="2">
        <v>0</v>
      </c>
    </row>
    <row r="3" spans="1:21" ht="14.45" customHeight="1" x14ac:dyDescent="0.2">
      <c r="A3" s="5">
        <v>44417</v>
      </c>
      <c r="B3" s="5" t="s">
        <v>19</v>
      </c>
      <c r="C3" s="6" t="s">
        <v>68</v>
      </c>
      <c r="D3" s="6" t="s">
        <v>20</v>
      </c>
      <c r="E3" s="6" t="s">
        <v>69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f>J3</f>
        <v>0.4375</v>
      </c>
      <c r="L3" s="7">
        <v>0.27083333333333331</v>
      </c>
      <c r="M3" s="8">
        <v>0.28263888888888888</v>
      </c>
      <c r="N3" s="6" t="s">
        <v>185</v>
      </c>
      <c r="O3" s="6" t="s">
        <v>176</v>
      </c>
      <c r="P3" s="6">
        <v>1302</v>
      </c>
      <c r="Q3" s="6">
        <v>996</v>
      </c>
      <c r="R3" s="6">
        <v>0</v>
      </c>
      <c r="S3" s="6">
        <v>0</v>
      </c>
      <c r="T3" s="6">
        <v>0</v>
      </c>
      <c r="U3" s="6">
        <v>0</v>
      </c>
    </row>
    <row r="4" spans="1:21" ht="14.45" customHeight="1" x14ac:dyDescent="0.2">
      <c r="A4" s="5">
        <v>44417</v>
      </c>
      <c r="B4" s="6" t="s">
        <v>19</v>
      </c>
      <c r="C4" s="6" t="s">
        <v>59</v>
      </c>
      <c r="D4" s="6" t="s">
        <v>20</v>
      </c>
      <c r="E4" s="6" t="s">
        <v>69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0.9458333333333333</v>
      </c>
      <c r="L4" s="7">
        <v>0.46875</v>
      </c>
      <c r="M4" s="8">
        <v>0.48125000000000001</v>
      </c>
      <c r="N4" s="6" t="s">
        <v>195</v>
      </c>
      <c r="O4" s="6" t="s">
        <v>186</v>
      </c>
      <c r="P4" s="6">
        <v>1380</v>
      </c>
      <c r="Q4" s="6">
        <v>1295</v>
      </c>
      <c r="R4" s="2">
        <v>0</v>
      </c>
      <c r="S4" s="2">
        <v>0</v>
      </c>
      <c r="T4" s="2">
        <v>0</v>
      </c>
      <c r="U4" s="2">
        <v>0</v>
      </c>
    </row>
    <row r="5" spans="1:21" ht="14.45" customHeight="1" x14ac:dyDescent="0.2">
      <c r="A5" s="5">
        <v>44417</v>
      </c>
      <c r="B5" s="6" t="s">
        <v>19</v>
      </c>
      <c r="C5" s="6" t="s">
        <v>62</v>
      </c>
      <c r="D5" s="6" t="s">
        <v>20</v>
      </c>
      <c r="E5" s="6" t="s">
        <v>158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0.71319444444444446</v>
      </c>
      <c r="L5" s="7">
        <v>0.48958333333333331</v>
      </c>
      <c r="M5" s="8">
        <v>0.49861111111111112</v>
      </c>
      <c r="N5" s="6" t="s">
        <v>193</v>
      </c>
      <c r="O5" s="6" t="s">
        <v>187</v>
      </c>
      <c r="P5" s="6">
        <v>348</v>
      </c>
      <c r="Q5" s="6">
        <v>1940</v>
      </c>
      <c r="R5" s="2">
        <v>0</v>
      </c>
      <c r="S5" s="2">
        <v>0</v>
      </c>
      <c r="T5" s="2">
        <v>0</v>
      </c>
      <c r="U5" s="2">
        <v>0</v>
      </c>
    </row>
    <row r="6" spans="1:21" ht="14.45" customHeight="1" x14ac:dyDescent="0.2">
      <c r="A6" s="5">
        <v>44417</v>
      </c>
      <c r="B6" s="6" t="s">
        <v>19</v>
      </c>
      <c r="C6" s="6" t="s">
        <v>65</v>
      </c>
      <c r="D6" s="6" t="s">
        <v>20</v>
      </c>
      <c r="E6" s="6" t="str">
        <f>E5</f>
        <v>HALPN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4">
        <v>0.92291666666666661</v>
      </c>
      <c r="L6" s="3">
        <v>0.73958333333333337</v>
      </c>
      <c r="M6" s="4">
        <v>0.74722222222222223</v>
      </c>
      <c r="N6" s="2" t="s">
        <v>122</v>
      </c>
      <c r="O6" s="2" t="s">
        <v>194</v>
      </c>
      <c r="P6" s="2">
        <v>1014</v>
      </c>
      <c r="Q6" s="2">
        <v>916</v>
      </c>
      <c r="R6" s="2">
        <v>0</v>
      </c>
      <c r="S6" s="2">
        <v>0</v>
      </c>
      <c r="T6" s="2">
        <v>0</v>
      </c>
      <c r="U6" s="2">
        <v>0</v>
      </c>
    </row>
    <row r="7" spans="1:21" ht="14.45" customHeight="1" x14ac:dyDescent="0.2">
      <c r="A7" s="5">
        <v>44417</v>
      </c>
      <c r="B7" s="2" t="s">
        <v>180</v>
      </c>
      <c r="C7" s="2" t="s">
        <v>181</v>
      </c>
      <c r="D7" s="2" t="s">
        <v>182</v>
      </c>
      <c r="E7" s="2" t="s">
        <v>183</v>
      </c>
      <c r="F7" s="2" t="s">
        <v>184</v>
      </c>
      <c r="G7" s="2">
        <v>21683</v>
      </c>
      <c r="H7" s="2" t="s">
        <v>178</v>
      </c>
      <c r="I7" s="2" t="s">
        <v>179</v>
      </c>
      <c r="J7" s="3">
        <v>0.38541666666666669</v>
      </c>
      <c r="K7" s="4">
        <v>0.375</v>
      </c>
      <c r="L7" s="3">
        <v>0.42708333333333331</v>
      </c>
      <c r="M7" s="4">
        <f>L7</f>
        <v>0.42708333333333331</v>
      </c>
      <c r="N7" s="2">
        <v>0</v>
      </c>
      <c r="O7" s="2" t="s">
        <v>50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ht="14.45" customHeight="1" x14ac:dyDescent="0.2">
      <c r="A8" s="5">
        <v>44417</v>
      </c>
      <c r="B8" s="2" t="s">
        <v>188</v>
      </c>
      <c r="C8" s="2" t="s">
        <v>189</v>
      </c>
      <c r="D8" s="2" t="s">
        <v>190</v>
      </c>
      <c r="E8" s="2" t="s">
        <v>192</v>
      </c>
      <c r="F8" s="2" t="s">
        <v>191</v>
      </c>
      <c r="G8" s="2">
        <v>1000</v>
      </c>
      <c r="H8" s="2" t="s">
        <v>192</v>
      </c>
      <c r="I8" s="2" t="s">
        <v>192</v>
      </c>
      <c r="J8" s="4">
        <v>0.58333333333333337</v>
      </c>
      <c r="K8" s="4">
        <v>0.60416666666666663</v>
      </c>
      <c r="L8" s="4">
        <v>0.60416666666666663</v>
      </c>
      <c r="M8" s="4">
        <v>0.625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E12" sqref="E12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2" x14ac:dyDescent="0.25">
      <c r="A2" s="5">
        <v>44418</v>
      </c>
      <c r="B2" s="6" t="s">
        <v>19</v>
      </c>
      <c r="C2" s="6" t="s">
        <v>83</v>
      </c>
      <c r="D2" s="6" t="s">
        <v>20</v>
      </c>
      <c r="E2" s="6" t="s">
        <v>240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/>
      <c r="L2" s="7">
        <v>0.25694444444444448</v>
      </c>
      <c r="M2" s="8"/>
      <c r="N2" s="6"/>
      <c r="O2" s="6"/>
      <c r="P2" s="6"/>
      <c r="Q2" s="6"/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44418</v>
      </c>
      <c r="B3" s="6" t="s">
        <v>19</v>
      </c>
      <c r="C3" s="6" t="s">
        <v>89</v>
      </c>
      <c r="D3" s="6" t="s">
        <v>20</v>
      </c>
      <c r="E3" s="6" t="s">
        <v>38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0.4513888888888889</v>
      </c>
      <c r="K3" s="8"/>
      <c r="L3" s="7">
        <v>0.27777777777777779</v>
      </c>
      <c r="M3" s="8"/>
      <c r="N3" s="6"/>
      <c r="O3" s="6"/>
      <c r="P3" s="6"/>
      <c r="Q3" s="6"/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v>44418</v>
      </c>
      <c r="B4" s="6" t="s">
        <v>19</v>
      </c>
      <c r="C4" s="6" t="s">
        <v>86</v>
      </c>
      <c r="D4" s="6" t="s">
        <v>20</v>
      </c>
      <c r="E4" s="6" t="s">
        <v>240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/>
      <c r="L4" s="7">
        <v>0.39583333333333331</v>
      </c>
      <c r="M4" s="8"/>
      <c r="N4" s="6"/>
      <c r="O4" s="6"/>
      <c r="P4" s="6"/>
      <c r="Q4" s="6"/>
      <c r="R4" s="6">
        <v>0</v>
      </c>
      <c r="S4" s="6">
        <v>0</v>
      </c>
      <c r="T4" s="6">
        <v>0</v>
      </c>
      <c r="U4" s="6">
        <v>0</v>
      </c>
    </row>
    <row r="5" spans="1:22" x14ac:dyDescent="0.25">
      <c r="A5" s="5">
        <v>44418</v>
      </c>
      <c r="B5" s="6" t="s">
        <v>19</v>
      </c>
      <c r="C5" s="6" t="s">
        <v>92</v>
      </c>
      <c r="D5" s="6" t="s">
        <v>20</v>
      </c>
      <c r="E5" s="6" t="s">
        <v>38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0.6875</v>
      </c>
      <c r="K5" s="8"/>
      <c r="L5" s="7">
        <v>0.4826388888888889</v>
      </c>
      <c r="M5" s="8"/>
      <c r="N5" s="6"/>
      <c r="O5" s="6"/>
      <c r="P5" s="6"/>
      <c r="Q5" s="6"/>
      <c r="R5" s="6">
        <v>0</v>
      </c>
      <c r="S5" s="6">
        <v>0</v>
      </c>
      <c r="T5" s="6">
        <v>0</v>
      </c>
      <c r="U5" s="6">
        <v>0</v>
      </c>
    </row>
    <row r="6" spans="1:22" x14ac:dyDescent="0.25">
      <c r="A6" s="5">
        <v>44418</v>
      </c>
      <c r="B6" s="5" t="s">
        <v>19</v>
      </c>
      <c r="C6" s="6" t="s">
        <v>95</v>
      </c>
      <c r="D6" s="6" t="s">
        <v>20</v>
      </c>
      <c r="E6" s="6" t="s">
        <v>240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/>
      <c r="L6" s="7">
        <v>0.60069444444444442</v>
      </c>
      <c r="M6" s="8"/>
      <c r="N6" s="6"/>
      <c r="O6" s="6"/>
      <c r="P6" s="6"/>
      <c r="Q6" s="6"/>
      <c r="R6" s="6">
        <v>0</v>
      </c>
      <c r="S6" s="6">
        <v>0</v>
      </c>
      <c r="T6" s="6">
        <v>0</v>
      </c>
      <c r="U6" s="6">
        <v>0</v>
      </c>
    </row>
    <row r="7" spans="1:22" x14ac:dyDescent="0.25">
      <c r="A7" s="5">
        <v>44418</v>
      </c>
      <c r="B7" s="6" t="s">
        <v>101</v>
      </c>
      <c r="C7" s="6" t="s">
        <v>102</v>
      </c>
      <c r="D7" s="6" t="s">
        <v>20</v>
      </c>
      <c r="E7" s="6" t="s">
        <v>105</v>
      </c>
      <c r="F7" s="6" t="s">
        <v>137</v>
      </c>
      <c r="G7" s="6">
        <v>77000</v>
      </c>
      <c r="H7" s="6" t="s">
        <v>103</v>
      </c>
      <c r="I7" s="6" t="s">
        <v>104</v>
      </c>
      <c r="J7" s="7">
        <v>0.3298611111111111</v>
      </c>
      <c r="K7" s="8"/>
      <c r="L7" s="7">
        <v>0.37152777777777773</v>
      </c>
      <c r="M7" s="8"/>
      <c r="N7" s="6"/>
      <c r="O7" s="8"/>
      <c r="P7" s="6"/>
      <c r="Q7" s="6"/>
      <c r="R7" s="6">
        <v>0</v>
      </c>
      <c r="S7" s="6">
        <v>0</v>
      </c>
      <c r="T7" s="6">
        <v>0</v>
      </c>
      <c r="U7" s="6">
        <v>0</v>
      </c>
      <c r="V7" s="10"/>
    </row>
    <row r="8" spans="1:22" x14ac:dyDescent="0.25">
      <c r="A8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Normal="100" workbookViewId="0">
      <selection activeCell="I19" sqref="I19"/>
    </sheetView>
  </sheetViews>
  <sheetFormatPr defaultRowHeight="12.75" x14ac:dyDescent="0.2"/>
  <cols>
    <col min="1" max="1" width="8.7109375" style="2" bestFit="1" customWidth="1"/>
    <col min="2" max="2" width="9.140625" style="2"/>
    <col min="3" max="3" width="15.5703125" style="2" customWidth="1"/>
    <col min="4" max="4" width="9.140625" style="2"/>
    <col min="5" max="5" width="12.5703125" style="2" customWidth="1"/>
    <col min="6" max="6" width="14.28515625" style="2" customWidth="1"/>
    <col min="7" max="7" width="9.28515625" style="2" bestFit="1" customWidth="1"/>
    <col min="8" max="9" width="9.140625" style="2"/>
    <col min="10" max="10" width="9.28515625" style="2" bestFit="1" customWidth="1"/>
    <col min="11" max="12" width="9" style="2" customWidth="1"/>
    <col min="13" max="13" width="8" style="2" customWidth="1"/>
    <col min="14" max="21" width="9.28515625" style="2" bestFit="1" customWidth="1"/>
    <col min="22" max="16384" width="9.140625" style="2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">
      <c r="A2" s="5">
        <v>44419</v>
      </c>
      <c r="B2" s="6" t="s">
        <v>19</v>
      </c>
      <c r="C2" s="6" t="s">
        <v>25</v>
      </c>
      <c r="D2" s="6" t="s">
        <v>20</v>
      </c>
      <c r="E2" s="6" t="s">
        <v>124</v>
      </c>
      <c r="F2" s="6" t="s">
        <v>21</v>
      </c>
      <c r="G2" s="6">
        <v>70</v>
      </c>
      <c r="H2" s="6" t="s">
        <v>26</v>
      </c>
      <c r="I2" s="6" t="s">
        <v>27</v>
      </c>
      <c r="J2" s="7">
        <v>0.45833333333333331</v>
      </c>
      <c r="K2" s="8">
        <v>0.44513888888888892</v>
      </c>
      <c r="L2" s="7">
        <v>0.25694444444444448</v>
      </c>
      <c r="M2" s="8">
        <v>0.26111111111111113</v>
      </c>
      <c r="N2" s="6" t="s">
        <v>201</v>
      </c>
      <c r="O2" s="6" t="s">
        <v>196</v>
      </c>
      <c r="P2" s="6">
        <v>321</v>
      </c>
      <c r="Q2" s="6">
        <v>1921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44419</v>
      </c>
      <c r="B3" s="6" t="s">
        <v>19</v>
      </c>
      <c r="C3" s="6" t="s">
        <v>29</v>
      </c>
      <c r="D3" s="6" t="s">
        <v>20</v>
      </c>
      <c r="E3" s="6" t="s">
        <v>38</v>
      </c>
      <c r="F3" s="6" t="s">
        <v>21</v>
      </c>
      <c r="G3" s="6">
        <v>70</v>
      </c>
      <c r="H3" s="6" t="s">
        <v>33</v>
      </c>
      <c r="I3" s="6" t="s">
        <v>120</v>
      </c>
      <c r="J3" s="7">
        <v>0.49652777777777773</v>
      </c>
      <c r="K3" s="4">
        <v>0.4916666666666667</v>
      </c>
      <c r="L3" s="7">
        <v>0.2638888888888889</v>
      </c>
      <c r="M3" s="8">
        <v>0.27777777777777779</v>
      </c>
      <c r="N3" s="6" t="s">
        <v>201</v>
      </c>
      <c r="O3" s="6" t="s">
        <v>168</v>
      </c>
      <c r="P3" s="6">
        <v>330</v>
      </c>
      <c r="Q3" s="6">
        <v>2140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44419</v>
      </c>
      <c r="B4" s="2" t="s">
        <v>19</v>
      </c>
      <c r="C4" s="2" t="s">
        <v>62</v>
      </c>
      <c r="D4" s="2" t="s">
        <v>20</v>
      </c>
      <c r="E4" s="6" t="s">
        <v>124</v>
      </c>
      <c r="F4" s="2" t="s">
        <v>21</v>
      </c>
      <c r="G4" s="2">
        <v>70</v>
      </c>
      <c r="H4" s="2" t="s">
        <v>63</v>
      </c>
      <c r="I4" s="2" t="s">
        <v>64</v>
      </c>
      <c r="J4" s="3">
        <v>0.71875</v>
      </c>
      <c r="K4" s="4">
        <v>0.69930555555555562</v>
      </c>
      <c r="L4" s="3">
        <v>0.48958333333333331</v>
      </c>
      <c r="M4" s="4">
        <v>0.48680555555555555</v>
      </c>
      <c r="N4" s="2" t="s">
        <v>205</v>
      </c>
      <c r="O4" s="2" t="s">
        <v>166</v>
      </c>
      <c r="P4" s="2">
        <v>256</v>
      </c>
      <c r="Q4" s="2">
        <v>1882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v>44419</v>
      </c>
      <c r="B5" s="2" t="s">
        <v>19</v>
      </c>
      <c r="C5" s="2" t="s">
        <v>59</v>
      </c>
      <c r="D5" s="2" t="s">
        <v>20</v>
      </c>
      <c r="E5" s="6" t="s">
        <v>38</v>
      </c>
      <c r="F5" s="2" t="s">
        <v>21</v>
      </c>
      <c r="G5" s="2">
        <v>70</v>
      </c>
      <c r="H5" s="2" t="s">
        <v>60</v>
      </c>
      <c r="I5" s="2" t="s">
        <v>61</v>
      </c>
      <c r="J5" s="3">
        <v>0.95486111111111116</v>
      </c>
      <c r="K5" s="11">
        <v>0.96458333333333324</v>
      </c>
      <c r="L5" s="12">
        <v>0.53819444444444442</v>
      </c>
      <c r="M5" s="11">
        <v>0.5625</v>
      </c>
      <c r="N5" s="13" t="s">
        <v>208</v>
      </c>
      <c r="O5" s="13" t="s">
        <v>204</v>
      </c>
      <c r="P5" s="13">
        <v>1035</v>
      </c>
      <c r="Q5" s="2">
        <v>1246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>
        <v>44419</v>
      </c>
      <c r="B6" s="2" t="s">
        <v>19</v>
      </c>
      <c r="C6" s="2" t="s">
        <v>65</v>
      </c>
      <c r="D6" s="2" t="s">
        <v>20</v>
      </c>
      <c r="E6" s="6" t="s">
        <v>124</v>
      </c>
      <c r="F6" s="2" t="s">
        <v>21</v>
      </c>
      <c r="G6" s="2">
        <v>70</v>
      </c>
      <c r="H6" s="2" t="s">
        <v>66</v>
      </c>
      <c r="I6" s="2" t="s">
        <v>67</v>
      </c>
      <c r="J6" s="3">
        <v>0.92013888888888884</v>
      </c>
      <c r="K6" s="4">
        <v>0.90486111111111101</v>
      </c>
      <c r="L6" s="3">
        <v>0.73958333333333337</v>
      </c>
      <c r="M6" s="4">
        <v>0.7402777777777777</v>
      </c>
      <c r="N6" s="2" t="s">
        <v>207</v>
      </c>
      <c r="O6" s="2" t="s">
        <v>206</v>
      </c>
      <c r="P6" s="2">
        <v>948</v>
      </c>
      <c r="Q6" s="2">
        <v>1039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5">
        <v>44419</v>
      </c>
      <c r="B7" s="2" t="s">
        <v>197</v>
      </c>
      <c r="C7" s="2" t="s">
        <v>200</v>
      </c>
      <c r="D7" s="2" t="s">
        <v>45</v>
      </c>
      <c r="E7" s="2" t="s">
        <v>46</v>
      </c>
      <c r="F7" s="2" t="s">
        <v>47</v>
      </c>
      <c r="G7" s="2">
        <v>6</v>
      </c>
      <c r="H7" s="2" t="s">
        <v>198</v>
      </c>
      <c r="I7" s="2" t="s">
        <v>199</v>
      </c>
      <c r="J7" s="3">
        <v>0.36805555555555558</v>
      </c>
      <c r="K7" s="4">
        <v>0.3743055555555555</v>
      </c>
      <c r="L7" s="3">
        <v>0.41319444444444442</v>
      </c>
      <c r="M7" s="4">
        <v>0.40625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5">
        <v>44419</v>
      </c>
      <c r="B8" s="2" t="s">
        <v>209</v>
      </c>
      <c r="C8" s="2" t="s">
        <v>210</v>
      </c>
      <c r="D8" s="2" t="s">
        <v>202</v>
      </c>
      <c r="E8" s="2" t="s">
        <v>203</v>
      </c>
      <c r="F8" s="2" t="s">
        <v>47</v>
      </c>
      <c r="G8" s="2">
        <v>10</v>
      </c>
      <c r="H8" s="2" t="s">
        <v>203</v>
      </c>
      <c r="I8" s="2" t="s">
        <v>203</v>
      </c>
      <c r="J8" s="3">
        <v>0.41666666666666669</v>
      </c>
      <c r="K8" s="4">
        <v>0.4375</v>
      </c>
      <c r="L8" s="3">
        <v>0.4375</v>
      </c>
      <c r="M8" s="4">
        <v>0.42499999999999999</v>
      </c>
      <c r="N8" s="2">
        <v>3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13" spans="1:21" x14ac:dyDescent="0.2">
      <c r="C13" s="2" t="s">
        <v>220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F1" workbookViewId="0">
      <selection sqref="A1:U6"/>
    </sheetView>
  </sheetViews>
  <sheetFormatPr defaultRowHeight="12.75" x14ac:dyDescent="0.2"/>
  <cols>
    <col min="1" max="1" width="9.140625" style="2"/>
    <col min="2" max="2" width="9.140625" style="2" bestFit="1" customWidth="1"/>
    <col min="3" max="3" width="15.7109375" style="2" bestFit="1" customWidth="1"/>
    <col min="4" max="4" width="5.7109375" style="2" bestFit="1" customWidth="1"/>
    <col min="5" max="5" width="9.140625" style="2"/>
    <col min="6" max="6" width="12.140625" style="2" bestFit="1" customWidth="1"/>
    <col min="7" max="13" width="9.140625" style="2"/>
    <col min="14" max="15" width="18.42578125" style="2" bestFit="1" customWidth="1"/>
    <col min="16" max="16384" width="9.140625" style="2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">
      <c r="A2" s="5">
        <v>44420</v>
      </c>
      <c r="B2" s="6" t="s">
        <v>19</v>
      </c>
      <c r="C2" s="6" t="s">
        <v>95</v>
      </c>
      <c r="D2" s="6" t="s">
        <v>20</v>
      </c>
      <c r="E2" s="6" t="s">
        <v>124</v>
      </c>
      <c r="F2" s="6" t="s">
        <v>21</v>
      </c>
      <c r="G2" s="6">
        <v>70000</v>
      </c>
      <c r="H2" s="6" t="s">
        <v>96</v>
      </c>
      <c r="I2" s="6" t="s">
        <v>97</v>
      </c>
      <c r="J2" s="7">
        <v>0.40972222222222227</v>
      </c>
      <c r="K2" s="18">
        <v>0.43402777777777773</v>
      </c>
      <c r="L2" s="19">
        <v>0.25694444444444448</v>
      </c>
      <c r="M2" s="18">
        <v>0.26944444444444443</v>
      </c>
      <c r="N2" s="20" t="s">
        <v>218</v>
      </c>
      <c r="O2" s="20" t="s">
        <v>211</v>
      </c>
      <c r="P2" s="20">
        <v>1000</v>
      </c>
      <c r="Q2" s="20">
        <v>991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44420</v>
      </c>
      <c r="B3" s="6" t="s">
        <v>19</v>
      </c>
      <c r="C3" s="6" t="s">
        <v>86</v>
      </c>
      <c r="D3" s="6" t="s">
        <v>20</v>
      </c>
      <c r="E3" s="6" t="s">
        <v>38</v>
      </c>
      <c r="F3" s="6" t="s">
        <v>21</v>
      </c>
      <c r="G3" s="6">
        <v>70000</v>
      </c>
      <c r="H3" s="6" t="s">
        <v>87</v>
      </c>
      <c r="I3" s="6" t="s">
        <v>88</v>
      </c>
      <c r="J3" s="7">
        <v>0.67013888888888884</v>
      </c>
      <c r="K3" s="8">
        <v>0.68263888888888891</v>
      </c>
      <c r="L3" s="7">
        <v>0.27083333333333331</v>
      </c>
      <c r="M3" s="8">
        <v>0.29375000000000001</v>
      </c>
      <c r="N3" s="6" t="s">
        <v>221</v>
      </c>
      <c r="O3" s="6" t="s">
        <v>212</v>
      </c>
      <c r="P3" s="6">
        <v>772</v>
      </c>
      <c r="Q3" s="6">
        <v>1182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44420</v>
      </c>
      <c r="B4" s="6" t="s">
        <v>19</v>
      </c>
      <c r="C4" s="6" t="s">
        <v>92</v>
      </c>
      <c r="D4" s="6" t="s">
        <v>20</v>
      </c>
      <c r="E4" s="6" t="s">
        <v>124</v>
      </c>
      <c r="F4" s="6" t="s">
        <v>21</v>
      </c>
      <c r="G4" s="6">
        <v>70000</v>
      </c>
      <c r="H4" s="6" t="s">
        <v>93</v>
      </c>
      <c r="I4" s="6" t="s">
        <v>94</v>
      </c>
      <c r="J4" s="7">
        <v>0.67361111111111116</v>
      </c>
      <c r="K4" s="8">
        <v>0.67013888888888884</v>
      </c>
      <c r="L4" s="7">
        <v>0.46875</v>
      </c>
      <c r="M4" s="8">
        <v>0.47291666666666665</v>
      </c>
      <c r="N4" s="6" t="s">
        <v>222</v>
      </c>
      <c r="O4" s="6" t="s">
        <v>219</v>
      </c>
      <c r="P4" s="6">
        <v>580</v>
      </c>
      <c r="Q4" s="6">
        <v>1402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v>44420</v>
      </c>
      <c r="B5" s="5" t="s">
        <v>19</v>
      </c>
      <c r="C5" s="6" t="s">
        <v>22</v>
      </c>
      <c r="D5" s="6" t="s">
        <v>20</v>
      </c>
      <c r="E5" s="6" t="str">
        <f>E4</f>
        <v>HA-LPN</v>
      </c>
      <c r="F5" s="6" t="s">
        <v>21</v>
      </c>
      <c r="G5" s="6">
        <v>70000</v>
      </c>
      <c r="H5" s="6" t="s">
        <v>23</v>
      </c>
      <c r="I5" s="6" t="s">
        <v>24</v>
      </c>
      <c r="J5" s="7">
        <v>0.90277777777777779</v>
      </c>
      <c r="K5" s="8">
        <v>0.89583333333333337</v>
      </c>
      <c r="L5" s="7">
        <v>0.70833333333333337</v>
      </c>
      <c r="M5" s="8">
        <v>0.72361111111111109</v>
      </c>
      <c r="N5" s="6" t="s">
        <v>223</v>
      </c>
      <c r="O5" s="6" t="s">
        <v>225</v>
      </c>
      <c r="P5" s="6">
        <v>1013</v>
      </c>
      <c r="Q5" s="6">
        <v>1068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>
        <v>44420</v>
      </c>
      <c r="B6" s="2" t="s">
        <v>123</v>
      </c>
      <c r="C6" s="2" t="s">
        <v>30</v>
      </c>
      <c r="D6" s="2" t="s">
        <v>20</v>
      </c>
      <c r="E6" s="2" t="str">
        <f>E3</f>
        <v>HA-LWG</v>
      </c>
      <c r="F6" s="2" t="s">
        <v>21</v>
      </c>
      <c r="G6" s="14">
        <v>70000</v>
      </c>
      <c r="H6" s="2" t="s">
        <v>32</v>
      </c>
      <c r="I6" s="2" t="s">
        <v>31</v>
      </c>
      <c r="J6" s="3">
        <v>0.90972222222222221</v>
      </c>
      <c r="K6" s="4">
        <v>0.92638888888888893</v>
      </c>
      <c r="L6" s="3">
        <v>0.69444444444444453</v>
      </c>
      <c r="M6" s="4">
        <v>0.70277777777777783</v>
      </c>
      <c r="N6" s="2" t="s">
        <v>224</v>
      </c>
      <c r="O6" s="2" t="s">
        <v>141</v>
      </c>
      <c r="P6" s="2">
        <v>351</v>
      </c>
      <c r="Q6" s="2">
        <v>1821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44420</v>
      </c>
      <c r="B7" s="6" t="s">
        <v>217</v>
      </c>
      <c r="C7" s="6" t="s">
        <v>216</v>
      </c>
      <c r="D7" s="6" t="s">
        <v>215</v>
      </c>
      <c r="E7" s="6" t="s">
        <v>214</v>
      </c>
      <c r="F7" s="6" t="s">
        <v>213</v>
      </c>
      <c r="G7" s="6">
        <v>1999</v>
      </c>
      <c r="H7" s="6" t="s">
        <v>214</v>
      </c>
      <c r="I7" s="8" t="str">
        <f>H7</f>
        <v>YU-BZW</v>
      </c>
      <c r="J7" s="7">
        <v>0.375</v>
      </c>
      <c r="K7" s="18">
        <v>0.36249999999999999</v>
      </c>
      <c r="L7" s="19">
        <v>0.55208333333333337</v>
      </c>
      <c r="M7" s="18"/>
      <c r="N7" s="20">
        <v>0</v>
      </c>
      <c r="O7" s="20">
        <v>0</v>
      </c>
      <c r="P7" s="20">
        <v>0</v>
      </c>
      <c r="Q7" s="20">
        <v>0</v>
      </c>
      <c r="R7" s="6">
        <v>0</v>
      </c>
      <c r="S7" s="6">
        <v>0</v>
      </c>
      <c r="T7" s="6">
        <v>0</v>
      </c>
      <c r="U7" s="6" t="s">
        <v>48</v>
      </c>
    </row>
    <row r="8" spans="1:21" x14ac:dyDescent="0.2">
      <c r="A8" s="15"/>
      <c r="J8" s="3"/>
      <c r="K8" s="4"/>
      <c r="L8" s="4"/>
      <c r="M8" s="4"/>
    </row>
    <row r="9" spans="1:21" x14ac:dyDescent="0.2">
      <c r="A9" s="15"/>
      <c r="J9" s="4"/>
      <c r="K9" s="4"/>
      <c r="L9" s="4"/>
      <c r="M9" s="4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3" max="3" width="13.57031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44421</v>
      </c>
      <c r="B2" s="6" t="s">
        <v>19</v>
      </c>
      <c r="C2" s="6" t="s">
        <v>25</v>
      </c>
      <c r="D2" s="6" t="s">
        <v>20</v>
      </c>
      <c r="E2" s="6" t="s">
        <v>38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0.44444444444444442</v>
      </c>
      <c r="L2" s="7">
        <v>0.25694444444444448</v>
      </c>
      <c r="M2" s="8">
        <v>0.26180555555555557</v>
      </c>
      <c r="N2" s="6" t="s">
        <v>229</v>
      </c>
      <c r="O2" s="6" t="s">
        <v>144</v>
      </c>
      <c r="P2" s="6">
        <v>345</v>
      </c>
      <c r="Q2" s="6">
        <v>1777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f>A2</f>
        <v>44421</v>
      </c>
      <c r="B3" s="5" t="s">
        <v>19</v>
      </c>
      <c r="C3" s="6" t="s">
        <v>68</v>
      </c>
      <c r="D3" s="6" t="s">
        <v>20</v>
      </c>
      <c r="E3" s="6" t="s">
        <v>124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v>0.42569444444444443</v>
      </c>
      <c r="L3" s="7">
        <v>0.27083333333333331</v>
      </c>
      <c r="M3" s="8">
        <v>0.27638888888888885</v>
      </c>
      <c r="N3" s="6" t="s">
        <v>230</v>
      </c>
      <c r="O3" s="6" t="s">
        <v>228</v>
      </c>
      <c r="P3" s="6">
        <v>959</v>
      </c>
      <c r="Q3" s="6">
        <v>1115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>A3</f>
        <v>44421</v>
      </c>
      <c r="B4" s="6" t="s">
        <v>19</v>
      </c>
      <c r="C4" s="6" t="s">
        <v>59</v>
      </c>
      <c r="D4" s="6" t="s">
        <v>20</v>
      </c>
      <c r="E4" s="6" t="s">
        <v>124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0.94791666666666663</v>
      </c>
      <c r="L4" s="7">
        <v>0.46875</v>
      </c>
      <c r="M4" s="8">
        <v>0.47152777777777777</v>
      </c>
      <c r="N4" s="6" t="s">
        <v>239</v>
      </c>
      <c r="O4" s="6" t="s">
        <v>231</v>
      </c>
      <c r="P4" s="6"/>
      <c r="Q4" s="6">
        <v>1568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f>A4</f>
        <v>44421</v>
      </c>
      <c r="B5" s="6" t="s">
        <v>19</v>
      </c>
      <c r="C5" s="6" t="s">
        <v>62</v>
      </c>
      <c r="D5" s="6" t="s">
        <v>20</v>
      </c>
      <c r="E5" s="6" t="s">
        <v>38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0.70416666666666661</v>
      </c>
      <c r="L5" s="7">
        <v>0.48958333333333331</v>
      </c>
      <c r="M5" s="8">
        <v>0.48819444444444443</v>
      </c>
      <c r="N5" s="6" t="s">
        <v>233</v>
      </c>
      <c r="O5" s="6" t="s">
        <v>232</v>
      </c>
      <c r="P5" s="6">
        <v>566</v>
      </c>
      <c r="Q5" s="6">
        <v>2108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f>A5</f>
        <v>44421</v>
      </c>
      <c r="B6" s="6" t="s">
        <v>19</v>
      </c>
      <c r="C6" s="6" t="s">
        <v>65</v>
      </c>
      <c r="D6" s="6" t="s">
        <v>20</v>
      </c>
      <c r="E6" s="6" t="s">
        <v>38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4">
        <v>0.91666666666666663</v>
      </c>
      <c r="L6" s="3">
        <v>0.73958333333333337</v>
      </c>
      <c r="M6" s="4">
        <v>0.73888888888888893</v>
      </c>
      <c r="N6" s="2" t="s">
        <v>234</v>
      </c>
      <c r="O6" s="2" t="s">
        <v>235</v>
      </c>
      <c r="P6" s="2">
        <v>1286</v>
      </c>
      <c r="Q6" s="2">
        <v>1332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5">
        <v>44421</v>
      </c>
      <c r="B7" s="6" t="s">
        <v>101</v>
      </c>
      <c r="C7" s="6" t="s">
        <v>102</v>
      </c>
      <c r="D7" s="6" t="s">
        <v>20</v>
      </c>
      <c r="E7" s="6" t="s">
        <v>226</v>
      </c>
      <c r="F7" s="6" t="s">
        <v>137</v>
      </c>
      <c r="G7" s="6">
        <v>77000</v>
      </c>
      <c r="H7" s="6" t="s">
        <v>103</v>
      </c>
      <c r="I7" s="6" t="s">
        <v>104</v>
      </c>
      <c r="J7" s="7">
        <v>0.3298611111111111</v>
      </c>
      <c r="K7" s="8">
        <v>0.31180555555555556</v>
      </c>
      <c r="L7" s="7">
        <v>0.37152777777777773</v>
      </c>
      <c r="M7" s="22">
        <v>0.36319444444444443</v>
      </c>
      <c r="N7" s="6" t="s">
        <v>227</v>
      </c>
      <c r="O7" s="6" t="s">
        <v>166</v>
      </c>
      <c r="P7" s="6">
        <v>2206</v>
      </c>
      <c r="Q7" s="6">
        <v>2079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5">
        <v>44421</v>
      </c>
      <c r="B8" s="6" t="s">
        <v>209</v>
      </c>
      <c r="C8" s="6" t="s">
        <v>236</v>
      </c>
      <c r="D8" s="2" t="s">
        <v>202</v>
      </c>
      <c r="E8" s="6" t="s">
        <v>203</v>
      </c>
      <c r="F8" s="6" t="s">
        <v>237</v>
      </c>
      <c r="G8" s="6">
        <v>9100</v>
      </c>
      <c r="H8" s="6" t="s">
        <v>203</v>
      </c>
      <c r="I8" s="6" t="s">
        <v>203</v>
      </c>
      <c r="J8" s="4">
        <v>0.5625</v>
      </c>
      <c r="K8" s="4">
        <v>0.55833333333333335</v>
      </c>
      <c r="L8" s="4">
        <v>0.58333333333333337</v>
      </c>
      <c r="M8" s="4">
        <v>0.57361111111111118</v>
      </c>
      <c r="N8" s="23">
        <v>1</v>
      </c>
      <c r="O8" s="6" t="s">
        <v>238</v>
      </c>
      <c r="P8" s="6">
        <v>0</v>
      </c>
      <c r="Q8" s="6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sqref="A1:V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44422</v>
      </c>
      <c r="B2" s="6" t="s">
        <v>19</v>
      </c>
      <c r="C2" s="6" t="s">
        <v>83</v>
      </c>
      <c r="D2" s="6" t="s">
        <v>20</v>
      </c>
      <c r="E2" s="6" t="s">
        <v>240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>
        <v>0.37222222222222223</v>
      </c>
      <c r="L2" s="7">
        <v>0.25694444444444448</v>
      </c>
      <c r="M2" s="8">
        <v>0.26111111111111113</v>
      </c>
      <c r="N2" s="6" t="s">
        <v>243</v>
      </c>
      <c r="O2" s="6" t="s">
        <v>241</v>
      </c>
      <c r="P2" s="6">
        <v>809</v>
      </c>
      <c r="Q2" s="6">
        <v>649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44422</v>
      </c>
      <c r="B3" s="6" t="s">
        <v>19</v>
      </c>
      <c r="C3" s="6" t="s">
        <v>89</v>
      </c>
      <c r="D3" s="6" t="s">
        <v>20</v>
      </c>
      <c r="E3" s="6" t="s">
        <v>38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0.4375</v>
      </c>
      <c r="K3" s="8">
        <v>0.44791666666666669</v>
      </c>
      <c r="L3" s="7">
        <v>0.2638888888888889</v>
      </c>
      <c r="M3" s="8">
        <v>0.27291666666666664</v>
      </c>
      <c r="N3" s="6" t="s">
        <v>246</v>
      </c>
      <c r="O3" s="6" t="s">
        <v>242</v>
      </c>
      <c r="P3" s="6">
        <v>1274</v>
      </c>
      <c r="Q3" s="6">
        <v>1378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44422</v>
      </c>
      <c r="B4" s="6" t="s">
        <v>19</v>
      </c>
      <c r="C4" s="6" t="s">
        <v>86</v>
      </c>
      <c r="D4" s="6" t="s">
        <v>20</v>
      </c>
      <c r="E4" s="6" t="s">
        <v>240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>
        <v>0.56319444444444444</v>
      </c>
      <c r="L4" s="7">
        <v>0.39583333333333331</v>
      </c>
      <c r="M4" s="8">
        <v>0.40347222222222223</v>
      </c>
      <c r="N4" s="6" t="s">
        <v>245</v>
      </c>
      <c r="O4" s="6" t="s">
        <v>154</v>
      </c>
      <c r="P4" s="6">
        <v>967</v>
      </c>
      <c r="Q4" s="6">
        <v>1827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44422</v>
      </c>
      <c r="B5" s="6" t="s">
        <v>19</v>
      </c>
      <c r="C5" s="6" t="s">
        <v>92</v>
      </c>
      <c r="D5" s="6" t="s">
        <v>20</v>
      </c>
      <c r="E5" s="6" t="s">
        <v>38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0.67361111111111116</v>
      </c>
      <c r="K5" s="8">
        <v>0.68958333333333333</v>
      </c>
      <c r="L5" s="7">
        <v>0.46875</v>
      </c>
      <c r="M5" s="8">
        <v>0.48958333333333331</v>
      </c>
      <c r="N5" s="6" t="s">
        <v>247</v>
      </c>
      <c r="O5" s="6" t="s">
        <v>244</v>
      </c>
      <c r="P5" s="6">
        <v>1190</v>
      </c>
      <c r="Q5" s="6">
        <v>1751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44422</v>
      </c>
      <c r="B6" s="5" t="s">
        <v>19</v>
      </c>
      <c r="C6" s="6" t="s">
        <v>95</v>
      </c>
      <c r="D6" s="6" t="s">
        <v>20</v>
      </c>
      <c r="E6" s="6" t="s">
        <v>240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>
        <v>6.9444444444444447E-4</v>
      </c>
      <c r="L6" s="7">
        <v>0.60069444444444442</v>
      </c>
      <c r="M6" s="8">
        <v>0.59930555555555554</v>
      </c>
      <c r="N6" s="6" t="s">
        <v>248</v>
      </c>
      <c r="O6" s="6" t="s">
        <v>250</v>
      </c>
      <c r="P6" s="6">
        <v>1026</v>
      </c>
      <c r="Q6" s="6">
        <v>1256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44422</v>
      </c>
      <c r="B7" s="6" t="s">
        <v>19</v>
      </c>
      <c r="C7" s="6" t="s">
        <v>98</v>
      </c>
      <c r="D7" s="6" t="s">
        <v>20</v>
      </c>
      <c r="E7" s="6" t="s">
        <v>38</v>
      </c>
      <c r="F7" s="6" t="s">
        <v>21</v>
      </c>
      <c r="G7" s="6">
        <v>70000</v>
      </c>
      <c r="H7" s="6" t="s">
        <v>99</v>
      </c>
      <c r="I7" s="6" t="s">
        <v>100</v>
      </c>
      <c r="J7" s="7">
        <v>0.90972222222222221</v>
      </c>
      <c r="K7" s="8">
        <v>0.91875000000000007</v>
      </c>
      <c r="L7" s="7">
        <v>0.69444444444444453</v>
      </c>
      <c r="M7" s="8">
        <v>0.7270833333333333</v>
      </c>
      <c r="N7" s="6" t="s">
        <v>249</v>
      </c>
      <c r="O7" s="6" t="s">
        <v>251</v>
      </c>
      <c r="P7" s="6">
        <v>375</v>
      </c>
      <c r="Q7" s="6">
        <v>2616</v>
      </c>
      <c r="R7" s="9">
        <v>0</v>
      </c>
      <c r="S7" s="9">
        <v>0</v>
      </c>
      <c r="T7" s="9">
        <v>0</v>
      </c>
      <c r="U7" s="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zoomScaleNormal="100" workbookViewId="0">
      <selection activeCell="M6" sqref="M6"/>
    </sheetView>
  </sheetViews>
  <sheetFormatPr defaultRowHeight="15" x14ac:dyDescent="0.25"/>
  <cols>
    <col min="2" max="2" width="16.5703125" customWidth="1"/>
    <col min="3" max="3" width="18.7109375" customWidth="1"/>
    <col min="4" max="4" width="7.42578125" customWidth="1"/>
    <col min="5" max="5" width="9.5703125" customWidth="1"/>
    <col min="6" max="6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1" x14ac:dyDescent="0.25">
      <c r="A2" s="5">
        <v>44423</v>
      </c>
      <c r="B2" s="6" t="s">
        <v>19</v>
      </c>
      <c r="C2" s="6" t="s">
        <v>34</v>
      </c>
      <c r="D2" s="6" t="s">
        <v>20</v>
      </c>
      <c r="E2" s="6" t="s">
        <v>38</v>
      </c>
      <c r="F2" s="2" t="s">
        <v>21</v>
      </c>
      <c r="G2" s="2">
        <v>70000</v>
      </c>
      <c r="H2" s="6" t="s">
        <v>26</v>
      </c>
      <c r="I2" s="6" t="s">
        <v>27</v>
      </c>
      <c r="J2" s="3">
        <v>0.40625</v>
      </c>
      <c r="K2" s="4">
        <v>0.39305555555555555</v>
      </c>
      <c r="L2" s="3">
        <v>0.25694444444444448</v>
      </c>
      <c r="M2" s="4">
        <v>0.25555555555555559</v>
      </c>
      <c r="N2" s="6" t="s">
        <v>253</v>
      </c>
      <c r="O2" s="2" t="s">
        <v>252</v>
      </c>
      <c r="P2" s="2">
        <v>632</v>
      </c>
      <c r="Q2" s="2">
        <v>1414</v>
      </c>
      <c r="R2" s="2">
        <v>0</v>
      </c>
      <c r="S2" s="2">
        <v>0</v>
      </c>
      <c r="T2" s="2">
        <v>0</v>
      </c>
    </row>
    <row r="3" spans="1:21" x14ac:dyDescent="0.25">
      <c r="A3" s="5">
        <v>44423</v>
      </c>
      <c r="B3" s="6" t="s">
        <v>19</v>
      </c>
      <c r="C3" s="6" t="s">
        <v>25</v>
      </c>
      <c r="D3" s="6" t="s">
        <v>20</v>
      </c>
      <c r="E3" s="6" t="s">
        <v>38</v>
      </c>
      <c r="F3" s="6" t="s">
        <v>21</v>
      </c>
      <c r="G3" s="6">
        <v>70000</v>
      </c>
      <c r="H3" s="6" t="s">
        <v>35</v>
      </c>
      <c r="I3" s="6" t="s">
        <v>36</v>
      </c>
      <c r="J3" s="7">
        <v>0.62847222222222221</v>
      </c>
      <c r="K3" s="8">
        <v>0.61875000000000002</v>
      </c>
      <c r="L3" s="7">
        <v>0.42708333333333331</v>
      </c>
      <c r="M3" s="8">
        <v>0.43263888888888885</v>
      </c>
      <c r="N3" s="6" t="s">
        <v>258</v>
      </c>
      <c r="O3" s="6" t="s">
        <v>117</v>
      </c>
      <c r="P3" s="6">
        <v>534</v>
      </c>
      <c r="Q3" s="6">
        <v>2027</v>
      </c>
      <c r="R3" s="2">
        <v>0</v>
      </c>
      <c r="S3" s="2">
        <v>0</v>
      </c>
      <c r="T3" s="2">
        <v>0</v>
      </c>
    </row>
    <row r="4" spans="1:21" x14ac:dyDescent="0.25">
      <c r="A4" s="5">
        <v>44423</v>
      </c>
      <c r="B4" s="6" t="s">
        <v>19</v>
      </c>
      <c r="C4" s="6" t="s">
        <v>29</v>
      </c>
      <c r="D4" s="6" t="s">
        <v>20</v>
      </c>
      <c r="E4" s="6" t="s">
        <v>240</v>
      </c>
      <c r="F4" s="6" t="s">
        <v>21</v>
      </c>
      <c r="G4" s="6">
        <v>70000</v>
      </c>
      <c r="H4" s="6" t="s">
        <v>33</v>
      </c>
      <c r="I4" s="6" t="s">
        <v>37</v>
      </c>
      <c r="J4" s="7">
        <v>0.70486111111111116</v>
      </c>
      <c r="K4" s="8">
        <v>0.6958333333333333</v>
      </c>
      <c r="L4" s="7">
        <v>0.46875</v>
      </c>
      <c r="M4" s="8">
        <v>0.48472222222222222</v>
      </c>
      <c r="N4" s="6" t="s">
        <v>259</v>
      </c>
      <c r="O4" s="2" t="s">
        <v>146</v>
      </c>
      <c r="P4" s="2">
        <v>519</v>
      </c>
      <c r="Q4" s="2">
        <v>2686</v>
      </c>
      <c r="R4" s="2">
        <v>0</v>
      </c>
      <c r="S4" s="2">
        <v>0</v>
      </c>
      <c r="T4" s="2">
        <v>0</v>
      </c>
    </row>
    <row r="5" spans="1:21" x14ac:dyDescent="0.25">
      <c r="A5" s="5">
        <v>44423</v>
      </c>
      <c r="B5" s="6" t="s">
        <v>19</v>
      </c>
      <c r="C5" s="6" t="s">
        <v>22</v>
      </c>
      <c r="D5" s="6" t="s">
        <v>20</v>
      </c>
      <c r="E5" s="6" t="s">
        <v>38</v>
      </c>
      <c r="F5" s="6" t="s">
        <v>21</v>
      </c>
      <c r="G5" s="6">
        <v>70000</v>
      </c>
      <c r="H5" s="6" t="s">
        <v>23</v>
      </c>
      <c r="I5" s="6" t="s">
        <v>24</v>
      </c>
      <c r="J5" s="3">
        <v>0.90625</v>
      </c>
      <c r="K5" s="4">
        <v>0.9145833333333333</v>
      </c>
      <c r="L5" s="3">
        <v>0.71527777777777779</v>
      </c>
      <c r="M5" s="4">
        <v>0.7319444444444444</v>
      </c>
      <c r="N5" s="2" t="s">
        <v>262</v>
      </c>
      <c r="O5" s="2" t="s">
        <v>260</v>
      </c>
      <c r="P5" s="2">
        <v>1478</v>
      </c>
      <c r="Q5" s="2">
        <v>1619</v>
      </c>
      <c r="R5" s="2">
        <v>0</v>
      </c>
      <c r="S5" s="2">
        <v>0</v>
      </c>
      <c r="T5" s="2">
        <v>0</v>
      </c>
    </row>
    <row r="6" spans="1:21" x14ac:dyDescent="0.25">
      <c r="A6" s="5">
        <v>44423</v>
      </c>
      <c r="B6" s="6" t="s">
        <v>19</v>
      </c>
      <c r="C6" s="6" t="s">
        <v>30</v>
      </c>
      <c r="D6" s="6" t="s">
        <v>20</v>
      </c>
      <c r="E6" s="6" t="s">
        <v>240</v>
      </c>
      <c r="F6" s="6" t="s">
        <v>21</v>
      </c>
      <c r="G6" s="6">
        <v>70000</v>
      </c>
      <c r="H6" s="6" t="s">
        <v>32</v>
      </c>
      <c r="I6" s="6" t="s">
        <v>31</v>
      </c>
      <c r="J6" s="7">
        <v>0.94097222222222221</v>
      </c>
      <c r="K6" s="8">
        <v>0.94861111111111107</v>
      </c>
      <c r="L6" s="7">
        <v>0.72569444444444453</v>
      </c>
      <c r="M6" s="8">
        <v>0.73611111111111116</v>
      </c>
      <c r="N6" s="6" t="s">
        <v>263</v>
      </c>
      <c r="O6" s="2" t="s">
        <v>261</v>
      </c>
      <c r="P6" s="2">
        <v>524</v>
      </c>
      <c r="Q6" s="2">
        <v>1482</v>
      </c>
      <c r="R6" s="2">
        <v>0</v>
      </c>
      <c r="S6" s="2">
        <v>0</v>
      </c>
      <c r="T6" s="2">
        <v>0</v>
      </c>
    </row>
    <row r="7" spans="1:21" x14ac:dyDescent="0.25">
      <c r="A7" s="5">
        <v>44423</v>
      </c>
      <c r="B7" s="6" t="s">
        <v>159</v>
      </c>
      <c r="C7" s="6" t="s">
        <v>160</v>
      </c>
      <c r="D7" s="6" t="s">
        <v>255</v>
      </c>
      <c r="E7" s="6" t="s">
        <v>254</v>
      </c>
      <c r="F7" s="6" t="s">
        <v>163</v>
      </c>
      <c r="G7" s="6">
        <v>2000</v>
      </c>
      <c r="H7" s="6" t="s">
        <v>254</v>
      </c>
      <c r="I7" s="6" t="s">
        <v>254</v>
      </c>
      <c r="J7" s="7">
        <v>0.39583333333333331</v>
      </c>
      <c r="K7" s="4">
        <v>0.39027777777777778</v>
      </c>
      <c r="L7" s="7">
        <v>0.41666666666666669</v>
      </c>
      <c r="M7" s="4">
        <v>0.40833333333333338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/>
    </row>
    <row r="8" spans="1:21" x14ac:dyDescent="0.25">
      <c r="A8" s="5">
        <v>44423</v>
      </c>
      <c r="B8" s="2" t="s">
        <v>180</v>
      </c>
      <c r="C8" s="2" t="s">
        <v>256</v>
      </c>
      <c r="D8" s="2" t="s">
        <v>182</v>
      </c>
      <c r="E8" s="2" t="s">
        <v>183</v>
      </c>
      <c r="F8" s="2" t="s">
        <v>184</v>
      </c>
      <c r="G8" s="2">
        <v>21683</v>
      </c>
      <c r="H8" s="2" t="s">
        <v>179</v>
      </c>
      <c r="I8" s="2" t="s">
        <v>257</v>
      </c>
      <c r="J8" s="3">
        <v>0.5395833333333333</v>
      </c>
      <c r="K8" s="4">
        <v>0.52152777777777781</v>
      </c>
      <c r="L8" s="3">
        <v>0.57986111111111105</v>
      </c>
      <c r="M8" s="4">
        <v>0.54652777777777783</v>
      </c>
      <c r="N8" s="2">
        <v>0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</sheetData>
  <pageMargins left="0.7" right="0.7" top="0.75" bottom="0.75" header="0.3" footer="0.3"/>
  <pageSetup paperSize="9" scale="46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6"/>
    </sheetView>
  </sheetViews>
  <sheetFormatPr defaultRowHeight="14.45" customHeight="1" x14ac:dyDescent="0.2"/>
  <cols>
    <col min="1" max="1" width="8.5703125" style="2" customWidth="1"/>
    <col min="2" max="2" width="16.28515625" style="2" customWidth="1"/>
    <col min="3" max="3" width="13.5703125" style="2" bestFit="1" customWidth="1"/>
    <col min="4" max="5" width="9.140625" style="2"/>
    <col min="6" max="6" width="12.140625" style="2" bestFit="1" customWidth="1"/>
    <col min="7" max="9" width="9.140625" style="2"/>
    <col min="10" max="10" width="11" style="2" bestFit="1" customWidth="1"/>
    <col min="11" max="11" width="10.85546875" style="2" bestFit="1" customWidth="1"/>
    <col min="12" max="12" width="11" style="2" bestFit="1" customWidth="1"/>
    <col min="13" max="13" width="10.85546875" style="2" bestFit="1" customWidth="1"/>
    <col min="14" max="14" width="13.28515625" style="2" customWidth="1"/>
    <col min="15" max="15" width="16.28515625" style="2" customWidth="1"/>
    <col min="16" max="16384" width="9.140625" style="2"/>
  </cols>
  <sheetData>
    <row r="1" spans="1:21" ht="14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ht="14.45" customHeight="1" x14ac:dyDescent="0.2">
      <c r="A2" s="5">
        <v>44424</v>
      </c>
      <c r="B2" s="6" t="s">
        <v>19</v>
      </c>
      <c r="C2" s="6" t="s">
        <v>25</v>
      </c>
      <c r="D2" s="6" t="s">
        <v>20</v>
      </c>
      <c r="E2" s="6" t="s">
        <v>69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0.44791666666666669</v>
      </c>
      <c r="L2" s="7">
        <v>0.25694444444444448</v>
      </c>
      <c r="M2" s="8">
        <v>0.2590277777777778</v>
      </c>
      <c r="N2" s="6" t="s">
        <v>265</v>
      </c>
      <c r="O2" s="6" t="s">
        <v>271</v>
      </c>
      <c r="P2" s="6">
        <v>190</v>
      </c>
      <c r="Q2" s="6">
        <v>1699</v>
      </c>
      <c r="R2" s="2">
        <v>0</v>
      </c>
      <c r="S2" s="2">
        <v>0</v>
      </c>
      <c r="T2" s="2">
        <v>0</v>
      </c>
      <c r="U2" s="2">
        <v>0</v>
      </c>
    </row>
    <row r="3" spans="1:21" ht="14.45" customHeight="1" x14ac:dyDescent="0.2">
      <c r="A3" s="5">
        <v>44424</v>
      </c>
      <c r="B3" s="5" t="s">
        <v>19</v>
      </c>
      <c r="C3" s="6" t="s">
        <v>68</v>
      </c>
      <c r="D3" s="6" t="s">
        <v>20</v>
      </c>
      <c r="E3" s="6" t="s">
        <v>264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v>0.43472222222222223</v>
      </c>
      <c r="L3" s="7">
        <v>0.27083333333333331</v>
      </c>
      <c r="M3" s="8">
        <v>0.28263888888888888</v>
      </c>
      <c r="N3" s="6" t="s">
        <v>266</v>
      </c>
      <c r="O3" s="6" t="s">
        <v>270</v>
      </c>
      <c r="P3" s="6">
        <v>970</v>
      </c>
      <c r="Q3" s="6">
        <v>1089</v>
      </c>
      <c r="R3" s="6">
        <v>0</v>
      </c>
      <c r="S3" s="6">
        <v>0</v>
      </c>
      <c r="T3" s="6">
        <v>0</v>
      </c>
      <c r="U3" s="6">
        <v>0</v>
      </c>
    </row>
    <row r="4" spans="1:21" ht="14.45" customHeight="1" x14ac:dyDescent="0.2">
      <c r="A4" s="5">
        <v>44424</v>
      </c>
      <c r="B4" s="6" t="s">
        <v>19</v>
      </c>
      <c r="C4" s="6" t="s">
        <v>59</v>
      </c>
      <c r="D4" s="6" t="s">
        <v>20</v>
      </c>
      <c r="E4" s="6" t="s">
        <v>264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0.96180555555555547</v>
      </c>
      <c r="L4" s="7">
        <v>0.46875</v>
      </c>
      <c r="M4" s="8">
        <v>0.48541666666666666</v>
      </c>
      <c r="N4" s="6" t="s">
        <v>272</v>
      </c>
      <c r="O4" s="6" t="s">
        <v>269</v>
      </c>
      <c r="P4" s="6">
        <v>1245</v>
      </c>
      <c r="Q4" s="6">
        <v>1628</v>
      </c>
      <c r="R4" s="2">
        <v>0</v>
      </c>
      <c r="S4" s="2">
        <v>0</v>
      </c>
      <c r="T4" s="2">
        <v>0</v>
      </c>
      <c r="U4" s="2">
        <v>0</v>
      </c>
    </row>
    <row r="5" spans="1:21" ht="14.45" customHeight="1" x14ac:dyDescent="0.2">
      <c r="A5" s="5">
        <v>44424</v>
      </c>
      <c r="B5" s="6" t="s">
        <v>19</v>
      </c>
      <c r="C5" s="6" t="s">
        <v>62</v>
      </c>
      <c r="D5" s="6" t="s">
        <v>20</v>
      </c>
      <c r="E5" s="6" t="s">
        <v>69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0.71875</v>
      </c>
      <c r="L5" s="7">
        <v>0.48958333333333331</v>
      </c>
      <c r="M5" s="8">
        <v>0.50486111111111109</v>
      </c>
      <c r="N5" s="6" t="s">
        <v>267</v>
      </c>
      <c r="O5" s="6" t="s">
        <v>268</v>
      </c>
      <c r="P5" s="6">
        <v>561</v>
      </c>
      <c r="Q5" s="6">
        <v>2039</v>
      </c>
      <c r="R5" s="2">
        <v>0</v>
      </c>
      <c r="S5" s="2">
        <v>0</v>
      </c>
      <c r="T5" s="2">
        <v>0</v>
      </c>
      <c r="U5" s="2">
        <v>0</v>
      </c>
    </row>
    <row r="6" spans="1:21" ht="14.45" customHeight="1" x14ac:dyDescent="0.2">
      <c r="A6" s="5">
        <v>44424</v>
      </c>
      <c r="B6" s="6" t="s">
        <v>19</v>
      </c>
      <c r="C6" s="6" t="s">
        <v>65</v>
      </c>
      <c r="D6" s="6" t="s">
        <v>20</v>
      </c>
      <c r="E6" s="6" t="str">
        <f>E5</f>
        <v>HALWG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8">
        <v>0.92499999999999993</v>
      </c>
      <c r="L6" s="3">
        <v>0.73958333333333337</v>
      </c>
      <c r="M6" s="4">
        <v>0.74861111111111101</v>
      </c>
      <c r="N6" s="2" t="s">
        <v>149</v>
      </c>
      <c r="O6" s="2" t="s">
        <v>78</v>
      </c>
      <c r="P6" s="2">
        <v>997</v>
      </c>
      <c r="Q6" s="2">
        <v>1334</v>
      </c>
      <c r="R6" s="2">
        <v>0</v>
      </c>
      <c r="S6" s="2">
        <v>0</v>
      </c>
      <c r="T6" s="2">
        <v>0</v>
      </c>
      <c r="U6" s="2">
        <v>0</v>
      </c>
    </row>
    <row r="7" spans="1:21" ht="14.45" customHeight="1" x14ac:dyDescent="0.2">
      <c r="A7" s="5"/>
      <c r="J7" s="3"/>
      <c r="K7" s="4"/>
      <c r="L7" s="3"/>
      <c r="M7" s="4"/>
    </row>
    <row r="8" spans="1:21" ht="14.45" customHeight="1" x14ac:dyDescent="0.2">
      <c r="A8" s="5"/>
      <c r="J8" s="4"/>
      <c r="K8" s="4"/>
      <c r="L8" s="4"/>
      <c r="M8" s="4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sqref="A1:XFD7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2" x14ac:dyDescent="0.25">
      <c r="A2" s="5">
        <v>44425</v>
      </c>
      <c r="B2" s="6" t="s">
        <v>19</v>
      </c>
      <c r="C2" s="6" t="s">
        <v>83</v>
      </c>
      <c r="D2" s="6" t="s">
        <v>20</v>
      </c>
      <c r="E2" s="6" t="s">
        <v>240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>
        <v>0.37013888888888885</v>
      </c>
      <c r="L2" s="7">
        <v>0.25694444444444448</v>
      </c>
      <c r="M2" s="8">
        <v>0.25972222222222224</v>
      </c>
      <c r="N2" s="6" t="s">
        <v>273</v>
      </c>
      <c r="O2" s="6" t="s">
        <v>78</v>
      </c>
      <c r="P2" s="6">
        <v>513</v>
      </c>
      <c r="Q2" s="6">
        <v>967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44425</v>
      </c>
      <c r="B3" s="6" t="s">
        <v>19</v>
      </c>
      <c r="C3" s="6" t="s">
        <v>89</v>
      </c>
      <c r="D3" s="6" t="s">
        <v>20</v>
      </c>
      <c r="E3" s="6" t="s">
        <v>38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0.4513888888888889</v>
      </c>
      <c r="K3" s="8">
        <v>0.4597222222222222</v>
      </c>
      <c r="L3" s="7">
        <v>0.27777777777777779</v>
      </c>
      <c r="M3" s="8">
        <v>0.2902777777777778</v>
      </c>
      <c r="N3" s="6" t="s">
        <v>276</v>
      </c>
      <c r="O3" s="6" t="s">
        <v>168</v>
      </c>
      <c r="P3" s="6">
        <v>1026</v>
      </c>
      <c r="Q3" s="6">
        <v>1078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v>44425</v>
      </c>
      <c r="B4" s="6" t="s">
        <v>19</v>
      </c>
      <c r="C4" s="6" t="s">
        <v>86</v>
      </c>
      <c r="D4" s="6" t="s">
        <v>20</v>
      </c>
      <c r="E4" s="6" t="s">
        <v>240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>
        <v>0.55972222222222223</v>
      </c>
      <c r="L4" s="7">
        <v>0.39583333333333331</v>
      </c>
      <c r="M4" s="8">
        <v>0.40347222222222223</v>
      </c>
      <c r="N4" s="6" t="s">
        <v>277</v>
      </c>
      <c r="O4" s="6" t="s">
        <v>275</v>
      </c>
      <c r="P4" s="6">
        <v>409</v>
      </c>
      <c r="Q4" s="6">
        <v>1105</v>
      </c>
      <c r="R4" s="6">
        <v>0</v>
      </c>
      <c r="S4" s="6">
        <v>0</v>
      </c>
      <c r="T4" s="6">
        <v>0</v>
      </c>
      <c r="U4" s="6">
        <v>0</v>
      </c>
    </row>
    <row r="5" spans="1:22" x14ac:dyDescent="0.25">
      <c r="A5" s="5">
        <v>44425</v>
      </c>
      <c r="B5" s="6" t="s">
        <v>19</v>
      </c>
      <c r="C5" s="6" t="s">
        <v>92</v>
      </c>
      <c r="D5" s="6" t="s">
        <v>20</v>
      </c>
      <c r="E5" s="6" t="s">
        <v>38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0.6875</v>
      </c>
      <c r="K5" s="8">
        <v>0.69652777777777775</v>
      </c>
      <c r="L5" s="7">
        <v>0.4826388888888889</v>
      </c>
      <c r="M5" s="8">
        <v>0.49861111111111112</v>
      </c>
      <c r="N5" s="6" t="s">
        <v>278</v>
      </c>
      <c r="O5" s="6" t="s">
        <v>53</v>
      </c>
      <c r="P5" s="6">
        <v>423</v>
      </c>
      <c r="Q5" s="6">
        <v>1296</v>
      </c>
      <c r="R5" s="6">
        <v>0</v>
      </c>
      <c r="S5" s="6">
        <v>0</v>
      </c>
      <c r="T5" s="6">
        <v>0</v>
      </c>
      <c r="U5" s="6">
        <v>0</v>
      </c>
    </row>
    <row r="6" spans="1:22" x14ac:dyDescent="0.25">
      <c r="A6" s="5">
        <v>44425</v>
      </c>
      <c r="B6" s="5" t="s">
        <v>19</v>
      </c>
      <c r="C6" s="6" t="s">
        <v>95</v>
      </c>
      <c r="D6" s="6" t="s">
        <v>20</v>
      </c>
      <c r="E6" s="6" t="s">
        <v>240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 t="s">
        <v>280</v>
      </c>
      <c r="L6" s="7">
        <v>0.60069444444444442</v>
      </c>
      <c r="M6" s="8" t="s">
        <v>279</v>
      </c>
      <c r="N6" s="6"/>
      <c r="O6" s="6" t="s">
        <v>281</v>
      </c>
      <c r="P6" s="6"/>
      <c r="Q6" s="6">
        <v>978</v>
      </c>
      <c r="R6" s="6">
        <v>0</v>
      </c>
      <c r="S6" s="6">
        <v>0</v>
      </c>
      <c r="T6" s="6">
        <v>0</v>
      </c>
      <c r="U6" s="6">
        <v>0</v>
      </c>
    </row>
    <row r="7" spans="1:22" x14ac:dyDescent="0.25">
      <c r="A7" s="5">
        <v>44425</v>
      </c>
      <c r="B7" s="6" t="s">
        <v>101</v>
      </c>
      <c r="C7" s="6" t="s">
        <v>102</v>
      </c>
      <c r="D7" s="6" t="s">
        <v>20</v>
      </c>
      <c r="E7" s="6" t="s">
        <v>105</v>
      </c>
      <c r="F7" s="6" t="s">
        <v>137</v>
      </c>
      <c r="G7" s="6">
        <v>77000</v>
      </c>
      <c r="H7" s="6" t="s">
        <v>103</v>
      </c>
      <c r="I7" s="6" t="s">
        <v>104</v>
      </c>
      <c r="J7" s="7">
        <v>0.3298611111111111</v>
      </c>
      <c r="K7" s="8">
        <v>0.3215277777777778</v>
      </c>
      <c r="L7" s="7">
        <v>0.37152777777777773</v>
      </c>
      <c r="M7" s="8">
        <v>0.3756944444444445</v>
      </c>
      <c r="N7" s="6" t="s">
        <v>186</v>
      </c>
      <c r="O7" s="8" t="s">
        <v>274</v>
      </c>
      <c r="P7" s="6">
        <v>2053</v>
      </c>
      <c r="Q7" s="6">
        <v>2302</v>
      </c>
      <c r="R7" s="6">
        <v>0</v>
      </c>
      <c r="S7" s="6">
        <v>0</v>
      </c>
      <c r="T7" s="6">
        <v>0</v>
      </c>
      <c r="U7" s="6">
        <v>0</v>
      </c>
      <c r="V7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K24" sqref="K24"/>
    </sheetView>
  </sheetViews>
  <sheetFormatPr defaultRowHeight="15" x14ac:dyDescent="0.25"/>
  <cols>
    <col min="1" max="1" width="10.140625" bestFit="1" customWidth="1"/>
    <col min="2" max="2" width="20.5703125" bestFit="1" customWidth="1"/>
    <col min="3" max="3" width="18.42578125" bestFit="1" customWidth="1"/>
    <col min="5" max="6" width="15.85546875" bestFit="1" customWidth="1"/>
    <col min="13" max="13" width="12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  <c r="V1" s="2"/>
    </row>
    <row r="2" spans="1:22" x14ac:dyDescent="0.25">
      <c r="A2" s="5">
        <v>44426</v>
      </c>
      <c r="B2" s="6" t="s">
        <v>19</v>
      </c>
      <c r="C2" s="6" t="s">
        <v>29</v>
      </c>
      <c r="D2" s="6" t="s">
        <v>20</v>
      </c>
      <c r="E2" s="6" t="s">
        <v>69</v>
      </c>
      <c r="F2" s="6" t="s">
        <v>21</v>
      </c>
      <c r="G2" s="6">
        <v>70000</v>
      </c>
      <c r="H2" s="6" t="s">
        <v>33</v>
      </c>
      <c r="I2" s="6" t="s">
        <v>27</v>
      </c>
      <c r="J2" s="7">
        <v>0.49652777777777773</v>
      </c>
      <c r="K2" s="8">
        <v>0.47638888888888892</v>
      </c>
      <c r="L2" s="7">
        <v>0.2638888888888889</v>
      </c>
      <c r="M2" s="8">
        <v>0.25972222222222224</v>
      </c>
      <c r="N2" s="6" t="s">
        <v>288</v>
      </c>
      <c r="O2" s="6" t="s">
        <v>282</v>
      </c>
      <c r="P2" s="6">
        <v>324</v>
      </c>
      <c r="Q2" s="6">
        <v>1610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 x14ac:dyDescent="0.25">
      <c r="A3" s="5">
        <v>44426</v>
      </c>
      <c r="B3" s="5" t="s">
        <v>19</v>
      </c>
      <c r="C3" s="6" t="s">
        <v>25</v>
      </c>
      <c r="D3" s="6" t="s">
        <v>20</v>
      </c>
      <c r="E3" s="6" t="s">
        <v>291</v>
      </c>
      <c r="F3" s="6" t="s">
        <v>21</v>
      </c>
      <c r="G3" s="6">
        <v>70000</v>
      </c>
      <c r="H3" s="6" t="s">
        <v>26</v>
      </c>
      <c r="I3" s="6" t="s">
        <v>26</v>
      </c>
      <c r="J3" s="7">
        <v>0.71875</v>
      </c>
      <c r="K3" s="8">
        <v>0.72361111111111109</v>
      </c>
      <c r="L3" s="7">
        <v>0.51736111111111105</v>
      </c>
      <c r="M3" s="8">
        <v>0.54513888888888895</v>
      </c>
      <c r="N3" s="6" t="s">
        <v>295</v>
      </c>
      <c r="O3" s="6" t="s">
        <v>292</v>
      </c>
      <c r="P3" s="6">
        <v>292</v>
      </c>
      <c r="Q3" s="6">
        <v>1599</v>
      </c>
      <c r="R3" s="6">
        <v>0</v>
      </c>
      <c r="S3" s="6">
        <v>0</v>
      </c>
      <c r="T3" s="6">
        <v>0</v>
      </c>
      <c r="U3" s="6">
        <v>0</v>
      </c>
      <c r="V3" s="2"/>
    </row>
    <row r="4" spans="1:22" x14ac:dyDescent="0.25">
      <c r="A4" s="5">
        <v>44426</v>
      </c>
      <c r="B4" s="6" t="s">
        <v>19</v>
      </c>
      <c r="C4" s="6" t="s">
        <v>59</v>
      </c>
      <c r="D4" s="6" t="s">
        <v>20</v>
      </c>
      <c r="E4" s="6" t="s">
        <v>69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0.95486111111111116</v>
      </c>
      <c r="K4" s="8">
        <v>0.95277777777777783</v>
      </c>
      <c r="L4" s="7">
        <v>0.53819444444444442</v>
      </c>
      <c r="M4" s="8">
        <v>0.54305555555555551</v>
      </c>
      <c r="N4" s="6" t="s">
        <v>296</v>
      </c>
      <c r="O4" s="6" t="s">
        <v>293</v>
      </c>
      <c r="P4" s="6">
        <v>730</v>
      </c>
      <c r="Q4" s="6">
        <v>1024</v>
      </c>
      <c r="R4" s="2">
        <v>0</v>
      </c>
      <c r="S4" s="2">
        <v>0</v>
      </c>
      <c r="T4" s="2">
        <v>0</v>
      </c>
      <c r="U4" s="2">
        <v>0</v>
      </c>
      <c r="V4" s="2"/>
    </row>
    <row r="5" spans="1:22" x14ac:dyDescent="0.25">
      <c r="A5" s="5">
        <v>44426</v>
      </c>
      <c r="B5" s="6" t="s">
        <v>19</v>
      </c>
      <c r="C5" s="6" t="s">
        <v>65</v>
      </c>
      <c r="D5" s="6" t="s">
        <v>20</v>
      </c>
      <c r="E5" s="6" t="s">
        <v>289</v>
      </c>
      <c r="F5" s="6" t="s">
        <v>21</v>
      </c>
      <c r="G5" s="6">
        <v>70000</v>
      </c>
      <c r="H5" s="6" t="s">
        <v>66</v>
      </c>
      <c r="I5" s="6" t="s">
        <v>67</v>
      </c>
      <c r="J5" s="7">
        <v>0.92013888888888884</v>
      </c>
      <c r="K5" s="8">
        <v>0.92083333333333339</v>
      </c>
      <c r="L5" s="7">
        <v>0.73958333333333337</v>
      </c>
      <c r="M5" s="8">
        <v>0.75416666666666676</v>
      </c>
      <c r="N5" s="6" t="s">
        <v>298</v>
      </c>
      <c r="O5" s="6" t="s">
        <v>297</v>
      </c>
      <c r="P5" s="6">
        <v>670</v>
      </c>
      <c r="Q5" s="6">
        <v>1459</v>
      </c>
      <c r="R5" s="2">
        <v>0</v>
      </c>
      <c r="S5" s="2">
        <v>0</v>
      </c>
      <c r="T5" s="2">
        <v>0</v>
      </c>
      <c r="U5" s="2">
        <v>0</v>
      </c>
      <c r="V5" s="2"/>
    </row>
    <row r="6" spans="1:22" x14ac:dyDescent="0.25">
      <c r="A6" s="5">
        <v>44426</v>
      </c>
      <c r="B6" s="6" t="s">
        <v>283</v>
      </c>
      <c r="C6" s="6" t="s">
        <v>284</v>
      </c>
      <c r="D6" s="6" t="s">
        <v>285</v>
      </c>
      <c r="E6" s="6" t="s">
        <v>286</v>
      </c>
      <c r="F6" s="6" t="s">
        <v>287</v>
      </c>
      <c r="G6" s="6">
        <v>600</v>
      </c>
      <c r="H6" s="6" t="s">
        <v>48</v>
      </c>
      <c r="I6" s="6" t="s">
        <v>48</v>
      </c>
      <c r="J6" s="3">
        <v>0.36458333333333331</v>
      </c>
      <c r="K6" s="8">
        <v>0.37777777777777777</v>
      </c>
      <c r="L6" s="3">
        <v>0.38541666666666669</v>
      </c>
      <c r="M6" s="4">
        <v>0.39652777777777781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/>
    </row>
    <row r="7" spans="1:22" x14ac:dyDescent="0.25">
      <c r="A7" s="5">
        <v>44426</v>
      </c>
      <c r="B7" s="2" t="s">
        <v>19</v>
      </c>
      <c r="C7" s="2" t="s">
        <v>304</v>
      </c>
      <c r="D7" s="2" t="s">
        <v>20</v>
      </c>
      <c r="E7" s="2" t="s">
        <v>305</v>
      </c>
      <c r="F7" s="6" t="s">
        <v>301</v>
      </c>
      <c r="G7" s="2">
        <v>70000</v>
      </c>
      <c r="H7" s="2" t="s">
        <v>290</v>
      </c>
      <c r="I7" s="6" t="s">
        <v>294</v>
      </c>
      <c r="J7" s="3">
        <v>0.49305555555555558</v>
      </c>
      <c r="K7" s="4">
        <v>0.5083333333333333</v>
      </c>
      <c r="L7" s="4">
        <v>0.60416666666666663</v>
      </c>
      <c r="M7" s="4">
        <v>0.62291666666666667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/>
    </row>
    <row r="8" spans="1:22" s="2" customFormat="1" ht="12.75" x14ac:dyDescent="0.2">
      <c r="A8" s="15">
        <v>44426</v>
      </c>
      <c r="B8" s="2" t="s">
        <v>19</v>
      </c>
      <c r="C8" s="2" t="s">
        <v>299</v>
      </c>
      <c r="D8" s="6" t="s">
        <v>20</v>
      </c>
      <c r="E8" s="2" t="s">
        <v>240</v>
      </c>
      <c r="F8" s="6" t="s">
        <v>21</v>
      </c>
      <c r="G8" s="2">
        <v>70000</v>
      </c>
      <c r="H8" s="2" t="s">
        <v>96</v>
      </c>
      <c r="I8" s="2" t="s">
        <v>48</v>
      </c>
      <c r="J8" s="4">
        <v>0.58333333333333337</v>
      </c>
      <c r="K8" s="4">
        <v>0.57777777777777783</v>
      </c>
      <c r="L8" s="2" t="s">
        <v>48</v>
      </c>
      <c r="M8" s="2" t="s">
        <v>48</v>
      </c>
      <c r="N8" s="2" t="s">
        <v>300</v>
      </c>
      <c r="O8" s="2">
        <v>0</v>
      </c>
      <c r="P8" s="2">
        <v>899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2" s="26" customFormat="1" x14ac:dyDescent="0.25">
      <c r="A9" s="5">
        <v>44426</v>
      </c>
      <c r="B9" s="2" t="s">
        <v>302</v>
      </c>
      <c r="C9" s="6" t="s">
        <v>160</v>
      </c>
      <c r="D9" s="6" t="s">
        <v>255</v>
      </c>
      <c r="E9" s="6" t="s">
        <v>254</v>
      </c>
      <c r="F9" s="6" t="s">
        <v>303</v>
      </c>
      <c r="G9" s="25">
        <v>1250</v>
      </c>
      <c r="H9" s="26" t="s">
        <v>48</v>
      </c>
      <c r="I9" s="26" t="s">
        <v>48</v>
      </c>
      <c r="J9" s="27">
        <v>0.75</v>
      </c>
      <c r="K9" s="27">
        <v>0.75</v>
      </c>
      <c r="L9" s="27">
        <v>0.77083333333333337</v>
      </c>
      <c r="M9" s="27">
        <v>0.76388888888888884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9" sqref="K9"/>
    </sheetView>
  </sheetViews>
  <sheetFormatPr defaultRowHeight="15" x14ac:dyDescent="0.25"/>
  <cols>
    <col min="3" max="3" width="12.85546875" customWidth="1"/>
    <col min="6" max="6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44427</v>
      </c>
      <c r="B2" s="6" t="s">
        <v>19</v>
      </c>
      <c r="C2" s="6" t="s">
        <v>95</v>
      </c>
      <c r="D2" s="6" t="s">
        <v>20</v>
      </c>
      <c r="E2" s="6" t="s">
        <v>289</v>
      </c>
      <c r="F2" s="6" t="s">
        <v>21</v>
      </c>
      <c r="G2" s="6">
        <v>70000</v>
      </c>
      <c r="H2" s="6" t="s">
        <v>96</v>
      </c>
      <c r="I2" s="6" t="s">
        <v>97</v>
      </c>
      <c r="J2" s="7">
        <v>0.40972222222222227</v>
      </c>
      <c r="K2" s="18">
        <v>0.39930555555555558</v>
      </c>
      <c r="L2" s="19">
        <v>0.25694444444444448</v>
      </c>
      <c r="M2" s="18">
        <v>0.26250000000000001</v>
      </c>
      <c r="N2" s="20" t="s">
        <v>308</v>
      </c>
      <c r="O2" s="20" t="s">
        <v>306</v>
      </c>
      <c r="P2" s="20">
        <v>774</v>
      </c>
      <c r="Q2" s="20">
        <v>1209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44427</v>
      </c>
      <c r="B3" s="6" t="s">
        <v>19</v>
      </c>
      <c r="C3" s="6" t="s">
        <v>86</v>
      </c>
      <c r="D3" s="6" t="s">
        <v>20</v>
      </c>
      <c r="E3" s="6" t="s">
        <v>38</v>
      </c>
      <c r="F3" s="6" t="s">
        <v>21</v>
      </c>
      <c r="G3" s="6">
        <v>70000</v>
      </c>
      <c r="H3" s="6" t="s">
        <v>87</v>
      </c>
      <c r="I3" s="6" t="s">
        <v>88</v>
      </c>
      <c r="J3" s="7">
        <v>0.67013888888888884</v>
      </c>
      <c r="K3" s="8">
        <v>0.68333333333333324</v>
      </c>
      <c r="L3" s="7">
        <v>0.27083333333333331</v>
      </c>
      <c r="M3" s="8">
        <v>0.28263888888888888</v>
      </c>
      <c r="N3" s="6" t="s">
        <v>310</v>
      </c>
      <c r="O3" s="6" t="s">
        <v>307</v>
      </c>
      <c r="P3" s="6">
        <v>450</v>
      </c>
      <c r="Q3" s="6">
        <v>790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44427</v>
      </c>
      <c r="B4" s="6" t="s">
        <v>19</v>
      </c>
      <c r="C4" s="6" t="s">
        <v>92</v>
      </c>
      <c r="D4" s="6" t="s">
        <v>20</v>
      </c>
      <c r="E4" s="6" t="s">
        <v>289</v>
      </c>
      <c r="F4" s="6" t="s">
        <v>21</v>
      </c>
      <c r="G4" s="6">
        <v>70000</v>
      </c>
      <c r="H4" s="6" t="s">
        <v>93</v>
      </c>
      <c r="I4" s="6" t="s">
        <v>94</v>
      </c>
      <c r="J4" s="7">
        <v>0.67361111111111116</v>
      </c>
      <c r="K4" s="8">
        <v>0.66319444444444442</v>
      </c>
      <c r="L4" s="7">
        <v>0.46875</v>
      </c>
      <c r="M4" s="8">
        <v>0.4694444444444445</v>
      </c>
      <c r="N4" s="6" t="s">
        <v>311</v>
      </c>
      <c r="O4" s="6" t="s">
        <v>147</v>
      </c>
      <c r="P4" s="6">
        <v>269</v>
      </c>
      <c r="Q4" s="6">
        <v>1383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44427</v>
      </c>
      <c r="B5" s="2" t="s">
        <v>123</v>
      </c>
      <c r="C5" s="2" t="s">
        <v>30</v>
      </c>
      <c r="D5" s="2" t="s">
        <v>20</v>
      </c>
      <c r="E5" s="2" t="str">
        <f>E3</f>
        <v>HA-LWG</v>
      </c>
      <c r="F5" s="2" t="s">
        <v>21</v>
      </c>
      <c r="G5" s="14">
        <v>70000</v>
      </c>
      <c r="H5" s="2" t="s">
        <v>32</v>
      </c>
      <c r="I5" s="2" t="s">
        <v>31</v>
      </c>
      <c r="J5" s="3">
        <v>0.90972222222222221</v>
      </c>
      <c r="K5" s="4">
        <v>0.90416666666666667</v>
      </c>
      <c r="L5" s="3">
        <v>0.69444444444444453</v>
      </c>
      <c r="M5" s="4">
        <v>0.69513888888888886</v>
      </c>
      <c r="N5" s="2" t="s">
        <v>313</v>
      </c>
      <c r="O5" s="2" t="s">
        <v>309</v>
      </c>
      <c r="P5" s="2">
        <v>357</v>
      </c>
      <c r="Q5" s="2">
        <v>1017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44427</v>
      </c>
      <c r="B6" s="5" t="s">
        <v>19</v>
      </c>
      <c r="C6" s="6" t="s">
        <v>22</v>
      </c>
      <c r="D6" s="6" t="s">
        <v>20</v>
      </c>
      <c r="E6" s="6" t="s">
        <v>289</v>
      </c>
      <c r="F6" s="6" t="s">
        <v>21</v>
      </c>
      <c r="G6" s="6">
        <v>70000</v>
      </c>
      <c r="H6" s="6" t="s">
        <v>23</v>
      </c>
      <c r="I6" s="6" t="s">
        <v>24</v>
      </c>
      <c r="J6" s="7">
        <v>0.90277777777777779</v>
      </c>
      <c r="K6" s="8">
        <v>0.89374999999999993</v>
      </c>
      <c r="L6" s="7">
        <v>0.70833333333333337</v>
      </c>
      <c r="M6" s="8">
        <v>0.71458333333333324</v>
      </c>
      <c r="N6" s="6" t="s">
        <v>314</v>
      </c>
      <c r="O6" s="6" t="s">
        <v>312</v>
      </c>
      <c r="P6" s="6">
        <v>969</v>
      </c>
      <c r="Q6" s="6">
        <v>1311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18" sqref="K18"/>
    </sheetView>
  </sheetViews>
  <sheetFormatPr defaultRowHeight="15" x14ac:dyDescent="0.25"/>
  <cols>
    <col min="1" max="1" width="10.140625" bestFit="1" customWidth="1"/>
    <col min="3" max="3" width="13.57031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44428</v>
      </c>
      <c r="B2" s="6" t="s">
        <v>19</v>
      </c>
      <c r="C2" s="6" t="s">
        <v>25</v>
      </c>
      <c r="D2" s="6" t="s">
        <v>20</v>
      </c>
      <c r="E2" s="6" t="s">
        <v>289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0.44375000000000003</v>
      </c>
      <c r="L2" s="7">
        <v>0.25694444444444448</v>
      </c>
      <c r="M2" s="8">
        <v>0.25625000000000003</v>
      </c>
      <c r="N2" s="6" t="s">
        <v>310</v>
      </c>
      <c r="O2" s="6" t="s">
        <v>316</v>
      </c>
      <c r="P2" s="6">
        <v>691</v>
      </c>
      <c r="Q2" s="6">
        <v>1548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f>A2</f>
        <v>44428</v>
      </c>
      <c r="B3" s="5" t="s">
        <v>19</v>
      </c>
      <c r="C3" s="6" t="s">
        <v>68</v>
      </c>
      <c r="D3" s="6" t="s">
        <v>20</v>
      </c>
      <c r="E3" s="6" t="s">
        <v>38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v>0.42986111111111108</v>
      </c>
      <c r="L3" s="7">
        <v>0.27083333333333331</v>
      </c>
      <c r="M3" s="8">
        <v>0.28194444444444444</v>
      </c>
      <c r="N3" s="6" t="s">
        <v>324</v>
      </c>
      <c r="O3" s="6" t="s">
        <v>114</v>
      </c>
      <c r="P3" s="6">
        <v>806</v>
      </c>
      <c r="Q3" s="6">
        <v>1194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>A3</f>
        <v>44428</v>
      </c>
      <c r="B4" s="6" t="s">
        <v>19</v>
      </c>
      <c r="C4" s="6" t="s">
        <v>59</v>
      </c>
      <c r="D4" s="6" t="s">
        <v>20</v>
      </c>
      <c r="E4" s="6" t="s">
        <v>38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0.92708333333333337</v>
      </c>
      <c r="L4" s="7">
        <v>0.46875</v>
      </c>
      <c r="M4" s="8">
        <v>0.4694444444444445</v>
      </c>
      <c r="N4" s="6" t="s">
        <v>271</v>
      </c>
      <c r="O4" s="6" t="s">
        <v>325</v>
      </c>
      <c r="P4" s="6">
        <v>1169</v>
      </c>
      <c r="Q4" s="6">
        <v>1394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f>A4</f>
        <v>44428</v>
      </c>
      <c r="B5" s="6" t="s">
        <v>19</v>
      </c>
      <c r="C5" s="6" t="s">
        <v>62</v>
      </c>
      <c r="D5" s="6" t="s">
        <v>20</v>
      </c>
      <c r="E5" s="6" t="s">
        <v>289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0.70486111111111116</v>
      </c>
      <c r="L5" s="7">
        <v>0.48958333333333331</v>
      </c>
      <c r="M5" s="8">
        <v>0.48749999999999999</v>
      </c>
      <c r="N5" s="6" t="s">
        <v>327</v>
      </c>
      <c r="O5" s="6" t="s">
        <v>326</v>
      </c>
      <c r="P5" s="6">
        <v>567</v>
      </c>
      <c r="Q5" s="6">
        <v>1868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f>A5</f>
        <v>44428</v>
      </c>
      <c r="B6" s="6" t="s">
        <v>19</v>
      </c>
      <c r="C6" s="6" t="s">
        <v>65</v>
      </c>
      <c r="D6" s="6" t="s">
        <v>20</v>
      </c>
      <c r="E6" s="6" t="s">
        <v>289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4">
        <v>0.91041666666666676</v>
      </c>
      <c r="L6" s="3">
        <v>0.73958333333333337</v>
      </c>
      <c r="M6" s="4">
        <v>0.74236111111111114</v>
      </c>
      <c r="N6" s="2" t="s">
        <v>328</v>
      </c>
      <c r="O6" s="2" t="s">
        <v>109</v>
      </c>
      <c r="P6" s="6">
        <v>850</v>
      </c>
      <c r="Q6" s="2">
        <v>1268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5">
        <v>44428</v>
      </c>
      <c r="B7" s="6" t="s">
        <v>101</v>
      </c>
      <c r="C7" s="6" t="s">
        <v>102</v>
      </c>
      <c r="D7" s="6" t="s">
        <v>20</v>
      </c>
      <c r="E7" s="6" t="s">
        <v>315</v>
      </c>
      <c r="F7" s="6" t="s">
        <v>137</v>
      </c>
      <c r="G7" s="6">
        <v>77000</v>
      </c>
      <c r="H7" s="6" t="s">
        <v>103</v>
      </c>
      <c r="I7" s="6" t="s">
        <v>104</v>
      </c>
      <c r="J7" s="7">
        <v>0.3298611111111111</v>
      </c>
      <c r="K7" s="8">
        <v>0.3215277777777778</v>
      </c>
      <c r="L7" s="7">
        <v>0.37152777777777773</v>
      </c>
      <c r="M7" s="22">
        <v>0.37222222222222223</v>
      </c>
      <c r="N7" s="6" t="s">
        <v>317</v>
      </c>
      <c r="O7" s="6" t="s">
        <v>110</v>
      </c>
      <c r="P7" s="6">
        <v>2249</v>
      </c>
      <c r="Q7" s="6">
        <v>2171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5">
        <v>44428</v>
      </c>
      <c r="B8" s="6" t="s">
        <v>318</v>
      </c>
      <c r="C8" s="6" t="s">
        <v>319</v>
      </c>
      <c r="D8" s="2" t="s">
        <v>320</v>
      </c>
      <c r="E8" s="6" t="s">
        <v>321</v>
      </c>
      <c r="F8" s="6" t="s">
        <v>184</v>
      </c>
      <c r="G8" s="6">
        <v>5800</v>
      </c>
      <c r="H8" s="6" t="s">
        <v>322</v>
      </c>
      <c r="I8" s="6" t="s">
        <v>323</v>
      </c>
      <c r="J8" s="3">
        <v>0.33333333333333331</v>
      </c>
      <c r="K8" s="4">
        <v>0.3666666666666667</v>
      </c>
      <c r="L8" s="3">
        <v>0.4375</v>
      </c>
      <c r="M8" s="4">
        <v>0.3979166666666667</v>
      </c>
      <c r="N8" s="23">
        <v>0</v>
      </c>
      <c r="O8" s="6">
        <v>0</v>
      </c>
      <c r="P8" s="6">
        <v>0</v>
      </c>
      <c r="Q8" s="6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U6"/>
    </sheetView>
  </sheetViews>
  <sheetFormatPr defaultRowHeight="15" x14ac:dyDescent="0.25"/>
  <cols>
    <col min="1" max="1" width="10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44429</v>
      </c>
      <c r="B2" s="6" t="s">
        <v>19</v>
      </c>
      <c r="C2" s="6" t="s">
        <v>83</v>
      </c>
      <c r="D2" s="6" t="s">
        <v>20</v>
      </c>
      <c r="E2" s="6" t="s">
        <v>289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>
        <v>0.36319444444444443</v>
      </c>
      <c r="L2" s="7">
        <v>0.25694444444444448</v>
      </c>
      <c r="M2" s="8">
        <v>0.26041666666666669</v>
      </c>
      <c r="N2" s="6" t="s">
        <v>154</v>
      </c>
      <c r="O2" s="6" t="s">
        <v>330</v>
      </c>
      <c r="P2" s="6">
        <v>553</v>
      </c>
      <c r="Q2" s="6">
        <v>934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44429</v>
      </c>
      <c r="B3" s="6" t="s">
        <v>19</v>
      </c>
      <c r="C3" s="6" t="s">
        <v>89</v>
      </c>
      <c r="D3" s="6" t="s">
        <v>20</v>
      </c>
      <c r="E3" s="6" t="s">
        <v>329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0.4375</v>
      </c>
      <c r="K3" s="8">
        <v>0.46180555555555558</v>
      </c>
      <c r="L3" s="7">
        <v>0.2638888888888889</v>
      </c>
      <c r="M3" s="8">
        <v>0.28819444444444448</v>
      </c>
      <c r="N3" s="6" t="s">
        <v>333</v>
      </c>
      <c r="O3" s="6" t="s">
        <v>331</v>
      </c>
      <c r="P3" s="6">
        <v>1148</v>
      </c>
      <c r="Q3" s="6">
        <v>1408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44429</v>
      </c>
      <c r="B4" s="6" t="s">
        <v>19</v>
      </c>
      <c r="C4" s="6" t="s">
        <v>86</v>
      </c>
      <c r="D4" s="6" t="s">
        <v>20</v>
      </c>
      <c r="E4" s="6" t="s">
        <v>289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>
        <v>0.56180555555555556</v>
      </c>
      <c r="L4" s="7">
        <v>0.39583333333333331</v>
      </c>
      <c r="M4" s="8">
        <v>0.39930555555555558</v>
      </c>
      <c r="N4" s="6" t="s">
        <v>336</v>
      </c>
      <c r="O4" s="6" t="s">
        <v>332</v>
      </c>
      <c r="P4" s="6">
        <v>915</v>
      </c>
      <c r="Q4" s="6">
        <v>1626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44429</v>
      </c>
      <c r="B5" s="6" t="s">
        <v>19</v>
      </c>
      <c r="C5" s="6" t="s">
        <v>92</v>
      </c>
      <c r="D5" s="6" t="s">
        <v>20</v>
      </c>
      <c r="E5" s="6" t="s">
        <v>329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0.67361111111111116</v>
      </c>
      <c r="K5" s="8">
        <v>0.70486111111111116</v>
      </c>
      <c r="L5" s="7">
        <v>0.46875</v>
      </c>
      <c r="M5" s="8"/>
      <c r="N5" s="6" t="s">
        <v>337</v>
      </c>
      <c r="O5" s="6" t="s">
        <v>334</v>
      </c>
      <c r="P5" s="6">
        <v>690</v>
      </c>
      <c r="Q5" s="6">
        <v>1765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44429</v>
      </c>
      <c r="B6" s="5" t="s">
        <v>19</v>
      </c>
      <c r="C6" s="6" t="s">
        <v>95</v>
      </c>
      <c r="D6" s="6" t="s">
        <v>20</v>
      </c>
      <c r="E6" s="6" t="s">
        <v>289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>
        <v>0.97777777777777775</v>
      </c>
      <c r="L6" s="7">
        <v>0.60069444444444442</v>
      </c>
      <c r="M6" s="8">
        <f>L6</f>
        <v>0.60069444444444442</v>
      </c>
      <c r="N6" s="6" t="s">
        <v>339</v>
      </c>
      <c r="O6" s="6" t="s">
        <v>335</v>
      </c>
      <c r="P6" s="6">
        <v>1336</v>
      </c>
      <c r="Q6" s="6">
        <v>1426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44429</v>
      </c>
      <c r="B7" s="6" t="s">
        <v>19</v>
      </c>
      <c r="C7" s="6" t="s">
        <v>98</v>
      </c>
      <c r="D7" s="6" t="s">
        <v>20</v>
      </c>
      <c r="E7" s="6" t="s">
        <v>329</v>
      </c>
      <c r="F7" s="6" t="s">
        <v>21</v>
      </c>
      <c r="G7" s="6">
        <v>7000</v>
      </c>
      <c r="H7" s="6" t="s">
        <v>99</v>
      </c>
      <c r="I7" s="6" t="s">
        <v>100</v>
      </c>
      <c r="J7" s="8">
        <v>0.90972222222222221</v>
      </c>
      <c r="K7" s="8">
        <v>0.94791666666666663</v>
      </c>
      <c r="L7" s="8">
        <v>0.69444444444444453</v>
      </c>
      <c r="M7" s="8">
        <v>0.7416666666666667</v>
      </c>
      <c r="N7" s="6" t="s">
        <v>340</v>
      </c>
      <c r="O7" s="6" t="s">
        <v>338</v>
      </c>
      <c r="P7" s="6">
        <v>357</v>
      </c>
      <c r="Q7" s="6">
        <v>2168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7"/>
    </sheetView>
  </sheetViews>
  <sheetFormatPr defaultRowHeight="15" x14ac:dyDescent="0.25"/>
  <cols>
    <col min="1" max="1" width="10.140625" bestFit="1" customWidth="1"/>
    <col min="2" max="2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44430</v>
      </c>
      <c r="B2" s="6" t="s">
        <v>19</v>
      </c>
      <c r="C2" s="6" t="s">
        <v>29</v>
      </c>
      <c r="D2" s="6" t="s">
        <v>20</v>
      </c>
      <c r="E2" s="6" t="s">
        <v>329</v>
      </c>
      <c r="F2" s="6" t="s">
        <v>21</v>
      </c>
      <c r="G2" s="6">
        <v>70000</v>
      </c>
      <c r="H2" s="6" t="s">
        <v>33</v>
      </c>
      <c r="I2" s="6" t="s">
        <v>120</v>
      </c>
      <c r="J2" s="7">
        <v>0.70486111111111116</v>
      </c>
      <c r="K2" s="8">
        <v>0.68680555555555556</v>
      </c>
      <c r="L2" s="7">
        <v>0.46875</v>
      </c>
      <c r="M2" s="8">
        <v>0.47430555555555554</v>
      </c>
      <c r="N2" s="6" t="s">
        <v>353</v>
      </c>
      <c r="O2" s="6" t="s">
        <v>346</v>
      </c>
      <c r="P2" s="6">
        <v>644</v>
      </c>
      <c r="Q2" s="6">
        <v>1724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44430</v>
      </c>
      <c r="B3" s="6" t="s">
        <v>19</v>
      </c>
      <c r="C3" s="6" t="s">
        <v>34</v>
      </c>
      <c r="D3" s="6" t="s">
        <v>20</v>
      </c>
      <c r="E3" s="6" t="s">
        <v>289</v>
      </c>
      <c r="F3" s="6" t="s">
        <v>21</v>
      </c>
      <c r="G3" s="6">
        <v>70000</v>
      </c>
      <c r="H3" s="6" t="s">
        <v>35</v>
      </c>
      <c r="I3" s="6" t="s">
        <v>36</v>
      </c>
      <c r="J3" s="7">
        <v>0.69097222222222221</v>
      </c>
      <c r="K3" s="8">
        <v>0.67847222222222225</v>
      </c>
      <c r="L3" s="7">
        <v>0.54166666666666663</v>
      </c>
      <c r="M3" s="8">
        <v>0.54236111111111118</v>
      </c>
      <c r="N3" s="6" t="s">
        <v>354</v>
      </c>
      <c r="O3" s="6" t="s">
        <v>347</v>
      </c>
      <c r="P3" s="6">
        <v>818</v>
      </c>
      <c r="Q3" s="6">
        <v>1178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44430</v>
      </c>
      <c r="B4" s="6" t="s">
        <v>19</v>
      </c>
      <c r="C4" s="6" t="s">
        <v>22</v>
      </c>
      <c r="D4" s="6" t="s">
        <v>20</v>
      </c>
      <c r="E4" s="6" t="s">
        <v>289</v>
      </c>
      <c r="F4" s="6" t="s">
        <v>21</v>
      </c>
      <c r="G4" s="6">
        <v>70000</v>
      </c>
      <c r="H4" s="6" t="s">
        <v>23</v>
      </c>
      <c r="I4" s="6" t="s">
        <v>24</v>
      </c>
      <c r="J4" s="7">
        <v>0.90625</v>
      </c>
      <c r="K4" s="8">
        <v>0.90208333333333324</v>
      </c>
      <c r="L4" s="7">
        <v>0.71527777777777779</v>
      </c>
      <c r="M4" s="8">
        <v>0.72569444444444453</v>
      </c>
      <c r="N4" s="6" t="s">
        <v>356</v>
      </c>
      <c r="O4" s="6" t="s">
        <v>153</v>
      </c>
      <c r="P4" s="6">
        <v>1162</v>
      </c>
      <c r="Q4" s="6">
        <v>1545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44430</v>
      </c>
      <c r="B5" s="6" t="s">
        <v>19</v>
      </c>
      <c r="C5" s="6" t="s">
        <v>30</v>
      </c>
      <c r="D5" s="6" t="s">
        <v>20</v>
      </c>
      <c r="E5" s="6" t="s">
        <v>329</v>
      </c>
      <c r="F5" s="6" t="s">
        <v>21</v>
      </c>
      <c r="G5" s="6">
        <v>70000</v>
      </c>
      <c r="H5" s="6" t="s">
        <v>32</v>
      </c>
      <c r="I5" s="6" t="s">
        <v>31</v>
      </c>
      <c r="J5" s="7">
        <v>0.94097222222222221</v>
      </c>
      <c r="K5" s="8">
        <v>0.92847222222222225</v>
      </c>
      <c r="L5" s="7">
        <v>0.72569444444444453</v>
      </c>
      <c r="M5" s="8">
        <v>0.73263888888888884</v>
      </c>
      <c r="N5" s="6" t="s">
        <v>357</v>
      </c>
      <c r="O5" s="6" t="s">
        <v>355</v>
      </c>
      <c r="P5" s="6">
        <v>314</v>
      </c>
      <c r="Q5" s="6">
        <v>1602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44430</v>
      </c>
      <c r="B6" s="5" t="s">
        <v>341</v>
      </c>
      <c r="C6" s="6" t="s">
        <v>345</v>
      </c>
      <c r="D6" s="6" t="s">
        <v>45</v>
      </c>
      <c r="E6" s="6" t="s">
        <v>342</v>
      </c>
      <c r="F6" s="6" t="s">
        <v>287</v>
      </c>
      <c r="G6" s="6">
        <v>5613</v>
      </c>
      <c r="H6" s="6" t="s">
        <v>343</v>
      </c>
      <c r="I6" s="6" t="s">
        <v>344</v>
      </c>
      <c r="J6" s="7">
        <v>0.4375</v>
      </c>
      <c r="K6" s="8">
        <v>0.43124999999999997</v>
      </c>
      <c r="L6" s="7">
        <v>0.57291666666666663</v>
      </c>
      <c r="M6" s="8">
        <v>0.53611111111111109</v>
      </c>
      <c r="N6" s="6"/>
      <c r="O6" s="6">
        <v>4</v>
      </c>
      <c r="P6" s="6"/>
      <c r="Q6" s="6"/>
      <c r="R6" s="6"/>
      <c r="S6" s="6">
        <v>0</v>
      </c>
      <c r="T6" s="6">
        <v>0</v>
      </c>
      <c r="U6" s="6">
        <v>0</v>
      </c>
    </row>
    <row r="7" spans="1:21" x14ac:dyDescent="0.25">
      <c r="A7" s="5">
        <v>44430</v>
      </c>
      <c r="B7" s="6" t="s">
        <v>352</v>
      </c>
      <c r="C7" s="6" t="s">
        <v>348</v>
      </c>
      <c r="D7" s="6" t="s">
        <v>349</v>
      </c>
      <c r="E7" s="6" t="s">
        <v>350</v>
      </c>
      <c r="F7" s="6" t="s">
        <v>287</v>
      </c>
      <c r="G7" s="6">
        <v>6292</v>
      </c>
      <c r="H7" s="6"/>
      <c r="I7" s="6"/>
      <c r="J7" s="8">
        <v>0.64930555555555558</v>
      </c>
      <c r="K7" s="8">
        <v>0.65902777777777777</v>
      </c>
      <c r="L7" s="6" t="s">
        <v>351</v>
      </c>
      <c r="M7" s="6"/>
      <c r="N7" s="6">
        <v>3</v>
      </c>
      <c r="O7" s="6"/>
      <c r="P7" s="6">
        <v>0</v>
      </c>
      <c r="R7" s="6">
        <v>0</v>
      </c>
      <c r="T7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6"/>
    </sheetView>
  </sheetViews>
  <sheetFormatPr defaultRowHeight="15" x14ac:dyDescent="0.25"/>
  <cols>
    <col min="3" max="3" width="13.28515625" customWidth="1"/>
  </cols>
  <sheetData>
    <row r="1" spans="1:21" s="2" customFormat="1" ht="14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s="2" customFormat="1" ht="14.45" customHeight="1" x14ac:dyDescent="0.2">
      <c r="A2" s="5">
        <v>44431</v>
      </c>
      <c r="B2" s="6" t="s">
        <v>19</v>
      </c>
      <c r="C2" s="6" t="s">
        <v>25</v>
      </c>
      <c r="D2" s="6" t="s">
        <v>20</v>
      </c>
      <c r="E2" s="6" t="s">
        <v>291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0.4458333333333333</v>
      </c>
      <c r="L2" s="7">
        <v>0.25694444444444448</v>
      </c>
      <c r="M2" s="8">
        <v>0.25763888888888892</v>
      </c>
      <c r="N2" s="6" t="s">
        <v>361</v>
      </c>
      <c r="O2" s="6" t="s">
        <v>359</v>
      </c>
      <c r="P2" s="6">
        <v>543</v>
      </c>
      <c r="Q2" s="6">
        <v>1050</v>
      </c>
      <c r="R2" s="2">
        <v>0</v>
      </c>
      <c r="S2" s="2">
        <v>0</v>
      </c>
      <c r="T2" s="2">
        <v>0</v>
      </c>
      <c r="U2" s="2">
        <v>0</v>
      </c>
    </row>
    <row r="3" spans="1:21" s="2" customFormat="1" ht="14.45" customHeight="1" x14ac:dyDescent="0.2">
      <c r="A3" s="5">
        <v>44431</v>
      </c>
      <c r="B3" s="5" t="s">
        <v>19</v>
      </c>
      <c r="C3" s="6" t="s">
        <v>68</v>
      </c>
      <c r="D3" s="6" t="s">
        <v>20</v>
      </c>
      <c r="E3" s="6" t="s">
        <v>358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v>0.44236111111111115</v>
      </c>
      <c r="L3" s="7">
        <v>0.27083333333333331</v>
      </c>
      <c r="M3" s="8">
        <v>0.28819444444444448</v>
      </c>
      <c r="N3" s="6" t="s">
        <v>362</v>
      </c>
      <c r="O3" s="6" t="s">
        <v>360</v>
      </c>
      <c r="P3" s="6">
        <v>627</v>
      </c>
      <c r="Q3" s="6">
        <v>859</v>
      </c>
      <c r="R3" s="6">
        <v>0</v>
      </c>
      <c r="S3" s="6">
        <v>0</v>
      </c>
      <c r="T3" s="6">
        <v>0</v>
      </c>
      <c r="U3" s="6">
        <v>0</v>
      </c>
    </row>
    <row r="4" spans="1:21" s="2" customFormat="1" ht="14.45" customHeight="1" x14ac:dyDescent="0.2">
      <c r="A4" s="5">
        <v>44431</v>
      </c>
      <c r="B4" s="6" t="s">
        <v>19</v>
      </c>
      <c r="C4" s="6" t="s">
        <v>59</v>
      </c>
      <c r="D4" s="6" t="s">
        <v>20</v>
      </c>
      <c r="E4" s="6" t="s">
        <v>358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0.93125000000000002</v>
      </c>
      <c r="L4" s="7">
        <v>0.46875</v>
      </c>
      <c r="M4" s="8">
        <v>0.4777777777777778</v>
      </c>
      <c r="N4" s="6" t="s">
        <v>365</v>
      </c>
      <c r="O4" s="6" t="s">
        <v>115</v>
      </c>
      <c r="P4" s="6">
        <v>645</v>
      </c>
      <c r="Q4" s="6">
        <v>935</v>
      </c>
      <c r="R4" s="2">
        <v>0</v>
      </c>
      <c r="S4" s="2">
        <v>0</v>
      </c>
      <c r="T4" s="2">
        <v>0</v>
      </c>
      <c r="U4" s="2">
        <v>0</v>
      </c>
    </row>
    <row r="5" spans="1:21" s="2" customFormat="1" ht="14.45" customHeight="1" x14ac:dyDescent="0.2">
      <c r="A5" s="5">
        <v>44431</v>
      </c>
      <c r="B5" s="6" t="s">
        <v>19</v>
      </c>
      <c r="C5" s="6" t="s">
        <v>62</v>
      </c>
      <c r="D5" s="6" t="s">
        <v>20</v>
      </c>
      <c r="E5" s="6" t="s">
        <v>291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0.70694444444444438</v>
      </c>
      <c r="L5" s="7">
        <v>0.48958333333333331</v>
      </c>
      <c r="M5" s="8">
        <v>0.49236111111111108</v>
      </c>
      <c r="N5" s="6" t="s">
        <v>363</v>
      </c>
      <c r="O5" s="6" t="s">
        <v>171</v>
      </c>
      <c r="P5" s="6">
        <v>382</v>
      </c>
      <c r="Q5" s="6">
        <v>1580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ht="14.45" customHeight="1" x14ac:dyDescent="0.2">
      <c r="A6" s="5">
        <v>44431</v>
      </c>
      <c r="B6" s="6" t="s">
        <v>19</v>
      </c>
      <c r="C6" s="6" t="s">
        <v>65</v>
      </c>
      <c r="D6" s="6" t="s">
        <v>20</v>
      </c>
      <c r="E6" s="6" t="s">
        <v>291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8">
        <v>0.93472222222222223</v>
      </c>
      <c r="L6" s="3">
        <v>0.73958333333333337</v>
      </c>
      <c r="M6" s="4">
        <v>0.74583333333333324</v>
      </c>
      <c r="N6" s="2" t="s">
        <v>366</v>
      </c>
      <c r="O6" s="2" t="s">
        <v>364</v>
      </c>
      <c r="P6" s="2">
        <v>932</v>
      </c>
      <c r="Q6" s="2">
        <v>1244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5">
        <v>44431</v>
      </c>
      <c r="B7" s="6" t="s">
        <v>352</v>
      </c>
      <c r="C7" s="6" t="s">
        <v>348</v>
      </c>
      <c r="D7" s="6" t="s">
        <v>349</v>
      </c>
      <c r="E7" s="6" t="s">
        <v>350</v>
      </c>
      <c r="F7" s="6" t="s">
        <v>287</v>
      </c>
      <c r="G7" s="6">
        <v>6292</v>
      </c>
      <c r="H7" s="6"/>
      <c r="I7" s="6"/>
      <c r="J7" s="8"/>
      <c r="K7" s="8"/>
      <c r="L7" s="8">
        <v>0.625</v>
      </c>
      <c r="M7" s="8">
        <v>0.63680555555555551</v>
      </c>
      <c r="N7" s="6"/>
      <c r="O7" s="6">
        <v>2</v>
      </c>
      <c r="P7" s="6"/>
      <c r="R7" s="6">
        <v>0</v>
      </c>
      <c r="T7" s="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sqref="A1:XFD7"/>
    </sheetView>
  </sheetViews>
  <sheetFormatPr defaultRowHeight="15" x14ac:dyDescent="0.25"/>
  <cols>
    <col min="3" max="3" width="13.7109375" customWidth="1"/>
    <col min="6" max="6" width="11.7109375" customWidth="1"/>
    <col min="13" max="13" width="8.42578125" customWidth="1"/>
    <col min="14" max="14" width="1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2" x14ac:dyDescent="0.25">
      <c r="A2" s="5">
        <v>44432</v>
      </c>
      <c r="B2" s="6" t="s">
        <v>19</v>
      </c>
      <c r="C2" s="6" t="s">
        <v>83</v>
      </c>
      <c r="D2" s="6" t="s">
        <v>20</v>
      </c>
      <c r="E2" s="6" t="s">
        <v>329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>
        <v>0.37361111111111112</v>
      </c>
      <c r="L2" s="7">
        <v>0.25694444444444448</v>
      </c>
      <c r="M2" s="8">
        <v>0.26458333333333334</v>
      </c>
      <c r="N2" s="6" t="s">
        <v>371</v>
      </c>
      <c r="O2" s="6" t="s">
        <v>166</v>
      </c>
      <c r="P2" s="6">
        <v>464</v>
      </c>
      <c r="Q2" s="6">
        <v>542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44432</v>
      </c>
      <c r="B3" s="6" t="s">
        <v>19</v>
      </c>
      <c r="C3" s="6" t="s">
        <v>89</v>
      </c>
      <c r="D3" s="6" t="s">
        <v>20</v>
      </c>
      <c r="E3" s="6" t="s">
        <v>289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0.4513888888888889</v>
      </c>
      <c r="K3" s="8">
        <v>0.47500000000000003</v>
      </c>
      <c r="L3" s="7">
        <v>0.27777777777777779</v>
      </c>
      <c r="M3" s="8">
        <v>0.30624999999999997</v>
      </c>
      <c r="N3" s="6" t="s">
        <v>373</v>
      </c>
      <c r="O3" s="6" t="s">
        <v>368</v>
      </c>
      <c r="P3" s="6">
        <v>853</v>
      </c>
      <c r="Q3" s="6">
        <v>1180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v>44432</v>
      </c>
      <c r="B4" s="6" t="s">
        <v>19</v>
      </c>
      <c r="C4" s="6" t="s">
        <v>86</v>
      </c>
      <c r="D4" s="6" t="s">
        <v>20</v>
      </c>
      <c r="E4" s="6" t="s">
        <v>329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>
        <v>0.55833333333333335</v>
      </c>
      <c r="L4" s="7">
        <v>0.39583333333333331</v>
      </c>
      <c r="M4" s="8">
        <v>0.40347222222222223</v>
      </c>
      <c r="N4" s="6" t="s">
        <v>375</v>
      </c>
      <c r="O4" s="6" t="s">
        <v>372</v>
      </c>
      <c r="P4" s="6">
        <v>359</v>
      </c>
      <c r="Q4" s="6">
        <v>1281</v>
      </c>
      <c r="R4" s="6">
        <v>0</v>
      </c>
      <c r="S4" s="6">
        <v>0</v>
      </c>
      <c r="T4" s="6">
        <v>0</v>
      </c>
      <c r="U4" s="6">
        <v>0</v>
      </c>
    </row>
    <row r="5" spans="1:22" x14ac:dyDescent="0.25">
      <c r="A5" s="5">
        <v>44432</v>
      </c>
      <c r="B5" s="6" t="s">
        <v>19</v>
      </c>
      <c r="C5" s="6" t="s">
        <v>92</v>
      </c>
      <c r="D5" s="6" t="s">
        <v>20</v>
      </c>
      <c r="E5" s="6" t="s">
        <v>289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0.6875</v>
      </c>
      <c r="K5" s="8">
        <v>0.70416666666666661</v>
      </c>
      <c r="L5" s="7">
        <v>0.4826388888888889</v>
      </c>
      <c r="M5" s="8">
        <v>0.50972222222222219</v>
      </c>
      <c r="N5" s="6" t="s">
        <v>380</v>
      </c>
      <c r="O5" s="6" t="s">
        <v>374</v>
      </c>
      <c r="P5" s="6">
        <v>389</v>
      </c>
      <c r="Q5" s="6">
        <v>1334</v>
      </c>
      <c r="R5" s="6">
        <v>0</v>
      </c>
      <c r="S5" s="6">
        <v>0</v>
      </c>
      <c r="T5" s="6">
        <v>0</v>
      </c>
      <c r="U5" s="6">
        <v>0</v>
      </c>
    </row>
    <row r="6" spans="1:22" x14ac:dyDescent="0.25">
      <c r="A6" s="5">
        <v>44432</v>
      </c>
      <c r="B6" s="5" t="s">
        <v>19</v>
      </c>
      <c r="C6" s="6" t="s">
        <v>95</v>
      </c>
      <c r="D6" s="6" t="s">
        <v>20</v>
      </c>
      <c r="E6" s="6" t="s">
        <v>329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>
        <v>0.96388888888888891</v>
      </c>
      <c r="L6" s="7">
        <v>0.60069444444444442</v>
      </c>
      <c r="M6" s="8">
        <v>0.59791666666666665</v>
      </c>
      <c r="N6" s="6" t="s">
        <v>381</v>
      </c>
      <c r="O6" s="6" t="s">
        <v>379</v>
      </c>
      <c r="P6" s="6">
        <v>809</v>
      </c>
      <c r="Q6" s="6">
        <v>921</v>
      </c>
      <c r="R6" s="6">
        <v>0</v>
      </c>
      <c r="S6" s="6">
        <v>0</v>
      </c>
      <c r="T6" s="6">
        <v>0</v>
      </c>
      <c r="U6" s="6">
        <v>0</v>
      </c>
    </row>
    <row r="7" spans="1:22" x14ac:dyDescent="0.25">
      <c r="A7" s="5">
        <v>44432</v>
      </c>
      <c r="B7" s="6" t="s">
        <v>101</v>
      </c>
      <c r="C7" s="6" t="s">
        <v>102</v>
      </c>
      <c r="D7" s="6" t="s">
        <v>20</v>
      </c>
      <c r="E7" s="6" t="s">
        <v>367</v>
      </c>
      <c r="F7" s="6" t="s">
        <v>137</v>
      </c>
      <c r="G7" s="6">
        <v>77000</v>
      </c>
      <c r="H7" s="6" t="s">
        <v>103</v>
      </c>
      <c r="I7" s="6" t="s">
        <v>104</v>
      </c>
      <c r="J7" s="7">
        <v>0.3298611111111111</v>
      </c>
      <c r="K7" s="8">
        <v>0.31597222222222221</v>
      </c>
      <c r="L7" s="7">
        <v>0.37152777777777773</v>
      </c>
      <c r="M7" s="8">
        <v>0.3743055555555555</v>
      </c>
      <c r="N7" s="6" t="s">
        <v>369</v>
      </c>
      <c r="O7" s="8" t="s">
        <v>370</v>
      </c>
      <c r="P7" s="6">
        <v>2550</v>
      </c>
      <c r="Q7" s="6">
        <v>2087</v>
      </c>
      <c r="R7" s="6">
        <v>0</v>
      </c>
      <c r="S7" s="6">
        <v>0</v>
      </c>
      <c r="T7" s="6">
        <v>0</v>
      </c>
      <c r="U7" s="6">
        <v>0</v>
      </c>
      <c r="V7" s="10"/>
    </row>
    <row r="8" spans="1:22" x14ac:dyDescent="0.25">
      <c r="A8" s="5">
        <v>44432</v>
      </c>
      <c r="B8" s="2" t="s">
        <v>197</v>
      </c>
      <c r="C8" s="2" t="s">
        <v>376</v>
      </c>
      <c r="D8" s="2" t="s">
        <v>45</v>
      </c>
      <c r="E8" s="2" t="s">
        <v>46</v>
      </c>
      <c r="F8" s="2" t="s">
        <v>47</v>
      </c>
      <c r="G8" s="2">
        <v>6</v>
      </c>
      <c r="H8" s="2" t="s">
        <v>377</v>
      </c>
      <c r="I8" s="2" t="s">
        <v>378</v>
      </c>
      <c r="J8" s="3">
        <v>0.53125</v>
      </c>
      <c r="K8" s="4">
        <v>0.52569444444444446</v>
      </c>
      <c r="L8" s="3">
        <v>0.60069444444444442</v>
      </c>
      <c r="M8" s="8">
        <v>0.54305555555555551</v>
      </c>
      <c r="N8" s="6">
        <v>4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2" x14ac:dyDescent="0.25">
      <c r="J9" s="3"/>
      <c r="L9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G24" sqref="G24"/>
    </sheetView>
  </sheetViews>
  <sheetFormatPr defaultRowHeight="15" x14ac:dyDescent="0.25"/>
  <cols>
    <col min="1" max="1" width="9" customWidth="1"/>
    <col min="2" max="2" width="9.85546875" customWidth="1"/>
    <col min="3" max="3" width="14" customWidth="1"/>
    <col min="5" max="5" width="10.28515625" customWidth="1"/>
    <col min="6" max="6" width="15.85546875" bestFit="1" customWidth="1"/>
    <col min="13" max="13" width="12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  <c r="V1" s="2"/>
    </row>
    <row r="2" spans="1:22" x14ac:dyDescent="0.25">
      <c r="A2" s="5">
        <v>44433</v>
      </c>
      <c r="B2" s="6" t="s">
        <v>19</v>
      </c>
      <c r="C2" s="6" t="s">
        <v>29</v>
      </c>
      <c r="D2" s="6" t="s">
        <v>20</v>
      </c>
      <c r="E2" s="6" t="s">
        <v>291</v>
      </c>
      <c r="F2" s="6" t="s">
        <v>21</v>
      </c>
      <c r="G2" s="6">
        <v>70000</v>
      </c>
      <c r="H2" s="6" t="s">
        <v>33</v>
      </c>
      <c r="I2" s="6" t="s">
        <v>27</v>
      </c>
      <c r="J2" s="7">
        <v>0.49652777777777773</v>
      </c>
      <c r="K2" s="8">
        <v>0.48125000000000001</v>
      </c>
      <c r="L2" s="7">
        <v>0.2638888888888889</v>
      </c>
      <c r="M2" s="8">
        <v>0.26527777777777778</v>
      </c>
      <c r="N2" s="6" t="s">
        <v>383</v>
      </c>
      <c r="O2" s="6" t="s">
        <v>382</v>
      </c>
      <c r="P2" s="6">
        <v>206</v>
      </c>
      <c r="Q2" s="6">
        <v>1001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 x14ac:dyDescent="0.25">
      <c r="A3" s="5">
        <v>44433</v>
      </c>
      <c r="B3" s="5" t="s">
        <v>19</v>
      </c>
      <c r="C3" s="6" t="s">
        <v>25</v>
      </c>
      <c r="D3" s="6" t="s">
        <v>20</v>
      </c>
      <c r="E3" s="6" t="s">
        <v>358</v>
      </c>
      <c r="F3" s="6" t="s">
        <v>21</v>
      </c>
      <c r="G3" s="6">
        <v>70000</v>
      </c>
      <c r="H3" s="6" t="s">
        <v>26</v>
      </c>
      <c r="I3" s="6" t="s">
        <v>26</v>
      </c>
      <c r="J3" s="7">
        <v>0.70833333333333337</v>
      </c>
      <c r="K3" s="8">
        <v>0.70277777777777783</v>
      </c>
      <c r="L3" s="7">
        <v>0.50694444444444442</v>
      </c>
      <c r="M3" s="8">
        <v>0.51944444444444449</v>
      </c>
      <c r="N3" s="6" t="s">
        <v>386</v>
      </c>
      <c r="O3" s="6" t="s">
        <v>384</v>
      </c>
      <c r="P3" s="6">
        <v>267</v>
      </c>
      <c r="Q3" s="6">
        <v>1317</v>
      </c>
      <c r="R3" s="6">
        <v>0</v>
      </c>
      <c r="S3" s="6">
        <v>0</v>
      </c>
      <c r="T3" s="6">
        <v>0</v>
      </c>
      <c r="U3" s="6">
        <v>0</v>
      </c>
      <c r="V3" s="2"/>
    </row>
    <row r="4" spans="1:22" x14ac:dyDescent="0.25">
      <c r="A4" s="5">
        <v>44433</v>
      </c>
      <c r="B4" s="6" t="s">
        <v>19</v>
      </c>
      <c r="C4" s="6" t="s">
        <v>59</v>
      </c>
      <c r="D4" s="6" t="s">
        <v>20</v>
      </c>
      <c r="E4" s="6" t="s">
        <v>291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0.95486111111111116</v>
      </c>
      <c r="K4" s="8">
        <v>0.94236111111111109</v>
      </c>
      <c r="L4" s="7">
        <v>0.53819444444444442</v>
      </c>
      <c r="M4" s="8">
        <v>0.54375000000000007</v>
      </c>
      <c r="N4" s="6" t="s">
        <v>388</v>
      </c>
      <c r="O4" s="6" t="s">
        <v>385</v>
      </c>
      <c r="P4" s="6">
        <v>835</v>
      </c>
      <c r="Q4" s="6">
        <v>830</v>
      </c>
      <c r="R4" s="2">
        <v>0</v>
      </c>
      <c r="S4" s="2">
        <v>0</v>
      </c>
      <c r="T4" s="2">
        <v>0</v>
      </c>
      <c r="U4" s="2">
        <v>0</v>
      </c>
      <c r="V4" s="2"/>
    </row>
    <row r="5" spans="1:22" x14ac:dyDescent="0.25">
      <c r="A5" s="5">
        <v>44433</v>
      </c>
      <c r="B5" s="6" t="s">
        <v>19</v>
      </c>
      <c r="C5" s="6" t="s">
        <v>65</v>
      </c>
      <c r="D5" s="6" t="s">
        <v>20</v>
      </c>
      <c r="E5" s="6" t="s">
        <v>329</v>
      </c>
      <c r="F5" s="6" t="s">
        <v>21</v>
      </c>
      <c r="G5" s="6">
        <v>70000</v>
      </c>
      <c r="H5" s="6" t="s">
        <v>66</v>
      </c>
      <c r="I5" s="6" t="s">
        <v>67</v>
      </c>
      <c r="J5" s="7">
        <v>0.92013888888888884</v>
      </c>
      <c r="K5" s="8">
        <v>0.90625</v>
      </c>
      <c r="L5" s="7">
        <v>0.73958333333333337</v>
      </c>
      <c r="M5" s="8">
        <v>0.73472222222222217</v>
      </c>
      <c r="N5" s="6" t="s">
        <v>387</v>
      </c>
      <c r="O5" s="6" t="s">
        <v>360</v>
      </c>
      <c r="P5" s="6">
        <v>609</v>
      </c>
      <c r="Q5" s="6">
        <v>1254</v>
      </c>
      <c r="R5" s="2">
        <v>0</v>
      </c>
      <c r="S5" s="2">
        <v>0</v>
      </c>
      <c r="T5" s="2">
        <v>0</v>
      </c>
      <c r="U5" s="2">
        <v>0</v>
      </c>
      <c r="V5" s="2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B10" sqref="B10"/>
    </sheetView>
  </sheetViews>
  <sheetFormatPr defaultRowHeight="15" x14ac:dyDescent="0.25"/>
  <cols>
    <col min="2" max="2" width="17.140625" customWidth="1"/>
    <col min="3" max="3" width="14.42578125" customWidth="1"/>
    <col min="6" max="6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44434</v>
      </c>
      <c r="B2" s="6" t="s">
        <v>19</v>
      </c>
      <c r="C2" s="6" t="s">
        <v>95</v>
      </c>
      <c r="D2" s="6" t="s">
        <v>20</v>
      </c>
      <c r="E2" s="6" t="s">
        <v>329</v>
      </c>
      <c r="F2" s="6" t="s">
        <v>21</v>
      </c>
      <c r="G2" s="6">
        <v>70000</v>
      </c>
      <c r="H2" s="6" t="s">
        <v>96</v>
      </c>
      <c r="I2" s="6" t="s">
        <v>97</v>
      </c>
      <c r="J2" s="7">
        <v>0.40972222222222227</v>
      </c>
      <c r="K2" s="18">
        <v>0.39305555555555555</v>
      </c>
      <c r="L2" s="19">
        <v>0.25694444444444448</v>
      </c>
      <c r="M2" s="18">
        <v>0.26180555555555557</v>
      </c>
      <c r="N2" s="20" t="s">
        <v>125</v>
      </c>
      <c r="O2" s="20" t="s">
        <v>384</v>
      </c>
      <c r="P2" s="20">
        <v>752</v>
      </c>
      <c r="Q2" s="20">
        <v>668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44434</v>
      </c>
      <c r="B3" s="6" t="s">
        <v>19</v>
      </c>
      <c r="C3" s="6" t="s">
        <v>86</v>
      </c>
      <c r="D3" s="6" t="s">
        <v>20</v>
      </c>
      <c r="E3" s="6" t="s">
        <v>289</v>
      </c>
      <c r="F3" s="6" t="s">
        <v>21</v>
      </c>
      <c r="G3" s="6">
        <v>70000</v>
      </c>
      <c r="H3" s="6" t="s">
        <v>87</v>
      </c>
      <c r="I3" s="6" t="s">
        <v>88</v>
      </c>
      <c r="J3" s="7">
        <v>0.67013888888888884</v>
      </c>
      <c r="K3" s="8">
        <v>0.67708333333333337</v>
      </c>
      <c r="L3" s="7">
        <v>0.27083333333333331</v>
      </c>
      <c r="M3" s="8">
        <v>0.27777777777777779</v>
      </c>
      <c r="N3" s="6" t="s">
        <v>362</v>
      </c>
      <c r="O3" s="6" t="s">
        <v>389</v>
      </c>
      <c r="P3" s="6">
        <v>544</v>
      </c>
      <c r="Q3" s="6">
        <v>1008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44434</v>
      </c>
      <c r="B4" s="6" t="s">
        <v>19</v>
      </c>
      <c r="C4" s="6" t="s">
        <v>92</v>
      </c>
      <c r="D4" s="6" t="s">
        <v>20</v>
      </c>
      <c r="E4" s="6" t="s">
        <v>329</v>
      </c>
      <c r="F4" s="6" t="s">
        <v>21</v>
      </c>
      <c r="G4" s="6">
        <v>70000</v>
      </c>
      <c r="H4" s="6" t="s">
        <v>93</v>
      </c>
      <c r="I4" s="6" t="s">
        <v>94</v>
      </c>
      <c r="J4" s="7">
        <v>0.67361111111111116</v>
      </c>
      <c r="K4" s="8">
        <v>0.6875</v>
      </c>
      <c r="L4" s="7">
        <v>0.46875</v>
      </c>
      <c r="M4" s="8">
        <v>0.47291666666666665</v>
      </c>
      <c r="N4" s="6" t="s">
        <v>399</v>
      </c>
      <c r="O4" s="6" t="s">
        <v>396</v>
      </c>
      <c r="P4" s="6">
        <v>352</v>
      </c>
      <c r="Q4" s="6">
        <v>1430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44434</v>
      </c>
      <c r="B5" s="2" t="s">
        <v>123</v>
      </c>
      <c r="C5" s="2" t="s">
        <v>30</v>
      </c>
      <c r="D5" s="2" t="s">
        <v>20</v>
      </c>
      <c r="E5" s="2" t="str">
        <f>E4</f>
        <v>HA-LYL</v>
      </c>
      <c r="F5" s="2" t="s">
        <v>21</v>
      </c>
      <c r="G5" s="14">
        <v>70000</v>
      </c>
      <c r="H5" s="2" t="s">
        <v>32</v>
      </c>
      <c r="I5" s="2" t="s">
        <v>31</v>
      </c>
      <c r="J5" s="3">
        <v>0.90972222222222221</v>
      </c>
      <c r="K5" s="4">
        <v>0.92013888888888884</v>
      </c>
      <c r="L5" s="3">
        <v>0.69444444444444453</v>
      </c>
      <c r="M5" s="4">
        <v>0.71527777777777779</v>
      </c>
      <c r="N5" s="2" t="s">
        <v>400</v>
      </c>
      <c r="O5" s="2" t="s">
        <v>397</v>
      </c>
      <c r="P5" s="2">
        <v>452</v>
      </c>
      <c r="Q5" s="2">
        <v>874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44434</v>
      </c>
      <c r="B6" s="5" t="s">
        <v>19</v>
      </c>
      <c r="C6" s="6" t="s">
        <v>22</v>
      </c>
      <c r="D6" s="6" t="s">
        <v>20</v>
      </c>
      <c r="E6" s="6" t="s">
        <v>289</v>
      </c>
      <c r="F6" s="6" t="s">
        <v>21</v>
      </c>
      <c r="G6" s="6">
        <v>70000</v>
      </c>
      <c r="H6" s="6" t="s">
        <v>23</v>
      </c>
      <c r="I6" s="6" t="s">
        <v>24</v>
      </c>
      <c r="J6" s="7">
        <v>0.90277777777777779</v>
      </c>
      <c r="K6" s="8">
        <v>0.89236111111111116</v>
      </c>
      <c r="L6" s="7">
        <v>0.70833333333333337</v>
      </c>
      <c r="M6" s="8">
        <v>0.72152777777777777</v>
      </c>
      <c r="N6" s="6" t="s">
        <v>401</v>
      </c>
      <c r="O6" s="2" t="s">
        <v>398</v>
      </c>
      <c r="P6" s="6">
        <v>756</v>
      </c>
      <c r="Q6" s="6">
        <v>1265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44434</v>
      </c>
      <c r="B7" s="6" t="s">
        <v>390</v>
      </c>
      <c r="C7" s="6" t="s">
        <v>394</v>
      </c>
      <c r="D7" s="6" t="s">
        <v>391</v>
      </c>
      <c r="E7" s="6" t="s">
        <v>392</v>
      </c>
      <c r="F7" s="6" t="s">
        <v>47</v>
      </c>
      <c r="G7" s="6">
        <v>4740</v>
      </c>
      <c r="H7" s="6" t="s">
        <v>393</v>
      </c>
      <c r="I7" s="6" t="s">
        <v>393</v>
      </c>
      <c r="J7" s="3">
        <v>0.375</v>
      </c>
      <c r="K7" s="4">
        <v>0.3833333333333333</v>
      </c>
      <c r="L7" s="3">
        <v>0.5625</v>
      </c>
      <c r="M7" s="4">
        <v>0.68055555555555547</v>
      </c>
      <c r="N7" s="2" t="s">
        <v>395</v>
      </c>
      <c r="O7" s="2" t="str">
        <f>N7</f>
        <v>5+0 INF</v>
      </c>
      <c r="P7" s="2">
        <v>0</v>
      </c>
      <c r="Q7" s="2">
        <v>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D18" sqref="D18"/>
    </sheetView>
  </sheetViews>
  <sheetFormatPr defaultRowHeight="15" x14ac:dyDescent="0.25"/>
  <cols>
    <col min="1" max="1" width="10.140625" style="10" bestFit="1" customWidth="1"/>
    <col min="2" max="16384" width="9.140625" style="10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  <c r="V1" s="2"/>
    </row>
    <row r="2" spans="1:22" x14ac:dyDescent="0.25">
      <c r="A2" s="5">
        <v>44435</v>
      </c>
      <c r="B2" s="6" t="s">
        <v>19</v>
      </c>
      <c r="C2" s="6" t="s">
        <v>25</v>
      </c>
      <c r="D2" s="6" t="s">
        <v>20</v>
      </c>
      <c r="E2" s="6" t="s">
        <v>329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0.46527777777777773</v>
      </c>
      <c r="L2" s="7">
        <v>0.25694444444444448</v>
      </c>
      <c r="M2" s="8">
        <v>0.28472222222222221</v>
      </c>
      <c r="N2" s="6" t="s">
        <v>409</v>
      </c>
      <c r="O2" s="6" t="s">
        <v>405</v>
      </c>
      <c r="P2" s="6">
        <v>468</v>
      </c>
      <c r="Q2" s="6">
        <v>1021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 x14ac:dyDescent="0.25">
      <c r="A3" s="5">
        <v>44435</v>
      </c>
      <c r="B3" s="5" t="s">
        <v>19</v>
      </c>
      <c r="C3" s="6" t="s">
        <v>68</v>
      </c>
      <c r="D3" s="6" t="s">
        <v>20</v>
      </c>
      <c r="E3" s="6" t="s">
        <v>289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v>0.43194444444444446</v>
      </c>
      <c r="L3" s="7">
        <v>0.27083333333333331</v>
      </c>
      <c r="M3" s="8">
        <v>0.27847222222222223</v>
      </c>
      <c r="N3" s="6" t="s">
        <v>408</v>
      </c>
      <c r="O3" s="6" t="s">
        <v>406</v>
      </c>
      <c r="P3" s="6">
        <v>662</v>
      </c>
      <c r="Q3" s="6">
        <v>1183</v>
      </c>
      <c r="R3" s="6">
        <v>0</v>
      </c>
      <c r="S3" s="6">
        <v>0</v>
      </c>
      <c r="T3" s="6">
        <v>0</v>
      </c>
      <c r="U3" s="6">
        <v>0</v>
      </c>
      <c r="V3" s="2"/>
    </row>
    <row r="4" spans="1:22" x14ac:dyDescent="0.25">
      <c r="A4" s="5">
        <v>44435</v>
      </c>
      <c r="B4" s="6" t="s">
        <v>19</v>
      </c>
      <c r="C4" s="6" t="s">
        <v>59</v>
      </c>
      <c r="D4" s="6" t="s">
        <v>20</v>
      </c>
      <c r="E4" s="6" t="s">
        <v>289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0.94652777777777775</v>
      </c>
      <c r="L4" s="7">
        <v>0.46875</v>
      </c>
      <c r="M4" s="8">
        <v>0.48680555555555555</v>
      </c>
      <c r="N4" s="6" t="s">
        <v>417</v>
      </c>
      <c r="O4" s="6" t="s">
        <v>410</v>
      </c>
      <c r="P4" s="6">
        <v>852</v>
      </c>
      <c r="Q4" s="6">
        <v>1516</v>
      </c>
      <c r="R4" s="2">
        <v>0</v>
      </c>
      <c r="S4" s="2">
        <v>0</v>
      </c>
      <c r="T4" s="2">
        <v>0</v>
      </c>
      <c r="U4" s="2">
        <v>0</v>
      </c>
      <c r="V4" s="2"/>
    </row>
    <row r="5" spans="1:22" x14ac:dyDescent="0.25">
      <c r="A5" s="5">
        <v>44435</v>
      </c>
      <c r="B5" s="6" t="s">
        <v>19</v>
      </c>
      <c r="C5" s="6" t="s">
        <v>62</v>
      </c>
      <c r="D5" s="6" t="s">
        <v>20</v>
      </c>
      <c r="E5" s="6" t="s">
        <v>329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0.73958333333333337</v>
      </c>
      <c r="L5" s="7">
        <v>0.48958333333333331</v>
      </c>
      <c r="M5" s="8">
        <v>0.51666666666666672</v>
      </c>
      <c r="N5" s="6" t="s">
        <v>411</v>
      </c>
      <c r="O5" s="6" t="s">
        <v>331</v>
      </c>
      <c r="P5" s="6">
        <v>652</v>
      </c>
      <c r="Q5" s="6">
        <v>1560</v>
      </c>
      <c r="R5" s="2">
        <v>0</v>
      </c>
      <c r="S5" s="2">
        <v>0</v>
      </c>
      <c r="T5" s="2">
        <v>0</v>
      </c>
      <c r="U5" s="2">
        <v>0</v>
      </c>
      <c r="V5" s="2"/>
    </row>
    <row r="6" spans="1:22" x14ac:dyDescent="0.25">
      <c r="A6" s="5">
        <v>44435</v>
      </c>
      <c r="B6" s="6" t="s">
        <v>19</v>
      </c>
      <c r="C6" s="6" t="s">
        <v>65</v>
      </c>
      <c r="D6" s="6" t="s">
        <v>20</v>
      </c>
      <c r="E6" s="6" t="s">
        <v>329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8">
        <v>0.93541666666666667</v>
      </c>
      <c r="L6" s="3">
        <v>0.73958333333333337</v>
      </c>
      <c r="M6" s="4">
        <v>0.7680555555555556</v>
      </c>
      <c r="N6" s="2" t="s">
        <v>418</v>
      </c>
      <c r="O6" s="2" t="s">
        <v>171</v>
      </c>
      <c r="P6" s="2">
        <v>815</v>
      </c>
      <c r="Q6" s="2">
        <v>1643</v>
      </c>
      <c r="R6" s="2">
        <v>0</v>
      </c>
      <c r="S6" s="2">
        <v>0</v>
      </c>
      <c r="T6" s="2">
        <v>0</v>
      </c>
      <c r="U6" s="2">
        <v>0</v>
      </c>
      <c r="V6" s="2"/>
    </row>
    <row r="7" spans="1:22" x14ac:dyDescent="0.25">
      <c r="A7" s="5">
        <v>44435</v>
      </c>
      <c r="B7" s="6" t="s">
        <v>402</v>
      </c>
      <c r="C7" s="6" t="s">
        <v>102</v>
      </c>
      <c r="D7" s="6" t="s">
        <v>20</v>
      </c>
      <c r="E7" s="6" t="s">
        <v>403</v>
      </c>
      <c r="F7" s="6" t="s">
        <v>137</v>
      </c>
      <c r="G7" s="6">
        <v>77000</v>
      </c>
      <c r="H7" s="6" t="s">
        <v>103</v>
      </c>
      <c r="I7" s="6" t="s">
        <v>104</v>
      </c>
      <c r="J7" s="8">
        <v>0.3298611111111111</v>
      </c>
      <c r="K7" s="8">
        <v>0.3263888888888889</v>
      </c>
      <c r="L7" s="8">
        <v>0.37152777777777773</v>
      </c>
      <c r="M7" s="6"/>
      <c r="N7" s="6" t="s">
        <v>404</v>
      </c>
      <c r="O7" s="6" t="s">
        <v>407</v>
      </c>
      <c r="P7" s="6">
        <v>2301</v>
      </c>
      <c r="Q7" s="6">
        <v>2166</v>
      </c>
      <c r="R7" s="6"/>
    </row>
    <row r="8" spans="1:22" s="6" customFormat="1" ht="12.75" x14ac:dyDescent="0.25">
      <c r="A8" s="5">
        <f>A7</f>
        <v>44435</v>
      </c>
      <c r="B8" s="6" t="s">
        <v>412</v>
      </c>
      <c r="C8" s="6" t="s">
        <v>256</v>
      </c>
      <c r="D8" s="6" t="s">
        <v>413</v>
      </c>
      <c r="E8" s="6" t="s">
        <v>414</v>
      </c>
      <c r="F8" s="6" t="s">
        <v>184</v>
      </c>
      <c r="G8" s="6">
        <v>21863</v>
      </c>
      <c r="H8" s="6" t="s">
        <v>415</v>
      </c>
      <c r="I8" s="6" t="s">
        <v>415</v>
      </c>
      <c r="J8" s="8">
        <v>0.66666666666666663</v>
      </c>
      <c r="K8" s="8">
        <v>0.72499999999999998</v>
      </c>
      <c r="L8" s="8">
        <v>0.75694444444444453</v>
      </c>
      <c r="M8" s="8">
        <v>0.7944444444444444</v>
      </c>
      <c r="N8" s="6" t="s">
        <v>416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7" sqref="A7:XFD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44436</v>
      </c>
      <c r="B2" s="6" t="s">
        <v>19</v>
      </c>
      <c r="C2" s="6" t="s">
        <v>83</v>
      </c>
      <c r="D2" s="6" t="s">
        <v>20</v>
      </c>
      <c r="E2" s="6" t="s">
        <v>289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>
        <v>0.37777777777777777</v>
      </c>
      <c r="L2" s="7">
        <v>0.25694444444444448</v>
      </c>
      <c r="M2" s="8">
        <v>0.2673611111111111</v>
      </c>
      <c r="N2" s="6" t="s">
        <v>420</v>
      </c>
      <c r="O2" s="6" t="s">
        <v>419</v>
      </c>
      <c r="P2" s="6">
        <v>373</v>
      </c>
      <c r="Q2" s="6">
        <v>1130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44436</v>
      </c>
      <c r="B3" s="6" t="s">
        <v>19</v>
      </c>
      <c r="C3" s="6" t="s">
        <v>89</v>
      </c>
      <c r="D3" s="6" t="s">
        <v>20</v>
      </c>
      <c r="E3" s="6" t="s">
        <v>329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0.4375</v>
      </c>
      <c r="K3" s="8">
        <v>0.46666666666666662</v>
      </c>
      <c r="L3" s="7">
        <v>0.2638888888888889</v>
      </c>
      <c r="M3" s="8">
        <v>0.29444444444444445</v>
      </c>
      <c r="N3" s="6" t="s">
        <v>424</v>
      </c>
      <c r="O3" s="6" t="s">
        <v>116</v>
      </c>
      <c r="P3" s="6">
        <v>1287</v>
      </c>
      <c r="Q3" s="6">
        <v>1708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44436</v>
      </c>
      <c r="B4" s="6" t="s">
        <v>19</v>
      </c>
      <c r="C4" s="6" t="s">
        <v>86</v>
      </c>
      <c r="D4" s="6" t="s">
        <v>20</v>
      </c>
      <c r="E4" s="6" t="s">
        <v>289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>
        <v>0.58402777777777781</v>
      </c>
      <c r="L4" s="7">
        <v>0.39583333333333331</v>
      </c>
      <c r="M4" s="8">
        <v>0.41250000000000003</v>
      </c>
      <c r="N4" s="6" t="s">
        <v>423</v>
      </c>
      <c r="O4" s="6" t="s">
        <v>421</v>
      </c>
      <c r="P4" s="6">
        <v>1272</v>
      </c>
      <c r="Q4" s="6">
        <v>1494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44436</v>
      </c>
      <c r="B5" s="6" t="s">
        <v>19</v>
      </c>
      <c r="C5" s="6" t="s">
        <v>92</v>
      </c>
      <c r="D5" s="6" t="s">
        <v>20</v>
      </c>
      <c r="E5" s="6" t="s">
        <v>329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0.67361111111111116</v>
      </c>
      <c r="K5" s="8">
        <v>0.7402777777777777</v>
      </c>
      <c r="L5" s="7">
        <v>0.46875</v>
      </c>
      <c r="M5" s="8">
        <v>0.50069444444444444</v>
      </c>
      <c r="N5" s="6" t="s">
        <v>427</v>
      </c>
      <c r="O5" s="6" t="s">
        <v>422</v>
      </c>
      <c r="P5" s="6">
        <v>701</v>
      </c>
      <c r="Q5" s="6">
        <v>1750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44436</v>
      </c>
      <c r="B6" s="5" t="s">
        <v>19</v>
      </c>
      <c r="C6" s="6" t="s">
        <v>95</v>
      </c>
      <c r="D6" s="6" t="s">
        <v>20</v>
      </c>
      <c r="E6" s="6" t="s">
        <v>289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>
        <v>0.98749999999999993</v>
      </c>
      <c r="L6" s="7">
        <v>0.60069444444444442</v>
      </c>
      <c r="M6" s="8">
        <v>0.61805555555555558</v>
      </c>
      <c r="N6" s="6" t="s">
        <v>428</v>
      </c>
      <c r="O6" s="6" t="s">
        <v>425</v>
      </c>
      <c r="P6" s="6">
        <v>764</v>
      </c>
      <c r="Q6" s="6">
        <v>1683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44436</v>
      </c>
      <c r="B7" s="6" t="s">
        <v>19</v>
      </c>
      <c r="C7" s="6" t="s">
        <v>98</v>
      </c>
      <c r="D7" s="6" t="s">
        <v>20</v>
      </c>
      <c r="E7" s="6" t="s">
        <v>329</v>
      </c>
      <c r="F7" s="6" t="s">
        <v>21</v>
      </c>
      <c r="G7" s="6">
        <v>70000</v>
      </c>
      <c r="H7" s="6" t="s">
        <v>99</v>
      </c>
      <c r="I7" s="6" t="s">
        <v>100</v>
      </c>
      <c r="J7" s="7">
        <v>0.90972222222222221</v>
      </c>
      <c r="K7" s="8"/>
      <c r="L7" s="7">
        <v>0.69444444444444453</v>
      </c>
      <c r="M7" s="8" t="s">
        <v>426</v>
      </c>
      <c r="N7" s="6"/>
      <c r="O7" s="6"/>
      <c r="P7" s="6"/>
      <c r="Q7" s="6"/>
      <c r="R7" s="6">
        <v>0</v>
      </c>
      <c r="S7" s="6">
        <v>0</v>
      </c>
      <c r="T7" s="9">
        <v>0</v>
      </c>
      <c r="U7" s="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sqref="A1:XFD1"/>
    </sheetView>
  </sheetViews>
  <sheetFormatPr defaultRowHeight="15" x14ac:dyDescent="0.25"/>
  <cols>
    <col min="2" max="2" width="10.42578125" customWidth="1"/>
    <col min="3" max="3" width="13.8554687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x14ac:dyDescent="0.25">
      <c r="A2" s="5">
        <v>44437</v>
      </c>
      <c r="B2" s="6" t="s">
        <v>19</v>
      </c>
      <c r="C2" s="6" t="s">
        <v>429</v>
      </c>
      <c r="D2" s="6" t="s">
        <v>20</v>
      </c>
      <c r="E2" s="6" t="s">
        <v>430</v>
      </c>
      <c r="F2" s="6" t="s">
        <v>21</v>
      </c>
      <c r="G2" s="6">
        <v>70000</v>
      </c>
      <c r="H2" s="6" t="s">
        <v>431</v>
      </c>
      <c r="I2" s="6" t="s">
        <v>432</v>
      </c>
      <c r="J2" s="7">
        <v>0.35069444444444442</v>
      </c>
      <c r="K2" s="8">
        <v>0.34791666666666665</v>
      </c>
      <c r="L2" s="7">
        <v>0.59722222222222221</v>
      </c>
      <c r="M2" s="8">
        <v>0.62083333333333335</v>
      </c>
      <c r="N2" s="6"/>
      <c r="O2" s="6"/>
      <c r="P2" s="6"/>
      <c r="Q2" s="6"/>
      <c r="R2" s="6">
        <v>0</v>
      </c>
      <c r="S2" s="6">
        <v>0</v>
      </c>
      <c r="T2" s="9">
        <v>0</v>
      </c>
      <c r="U2" s="9">
        <v>0</v>
      </c>
    </row>
    <row r="3" spans="1:21" x14ac:dyDescent="0.25">
      <c r="A3" s="5">
        <v>44436</v>
      </c>
      <c r="B3" s="6" t="s">
        <v>19</v>
      </c>
      <c r="C3" s="6" t="s">
        <v>98</v>
      </c>
      <c r="D3" s="6" t="s">
        <v>20</v>
      </c>
      <c r="E3" s="6" t="s">
        <v>430</v>
      </c>
      <c r="F3" s="6" t="s">
        <v>21</v>
      </c>
      <c r="G3" s="6">
        <v>70000</v>
      </c>
      <c r="H3" s="6" t="s">
        <v>99</v>
      </c>
      <c r="I3" s="6" t="s">
        <v>100</v>
      </c>
      <c r="J3" s="7">
        <v>0.59722222222222221</v>
      </c>
      <c r="K3" s="8">
        <v>0.58888888888888891</v>
      </c>
      <c r="L3" s="7">
        <v>0.375</v>
      </c>
      <c r="M3" s="8">
        <v>0.38472222222222219</v>
      </c>
      <c r="N3" s="6" t="s">
        <v>435</v>
      </c>
      <c r="O3" s="6" t="s">
        <v>433</v>
      </c>
      <c r="P3" s="6">
        <v>576</v>
      </c>
      <c r="Q3" s="6">
        <v>1564</v>
      </c>
      <c r="R3" s="6">
        <v>0</v>
      </c>
      <c r="S3" s="6">
        <v>0</v>
      </c>
      <c r="T3" s="9">
        <v>0</v>
      </c>
      <c r="U3" s="9">
        <v>0</v>
      </c>
    </row>
    <row r="4" spans="1:21" x14ac:dyDescent="0.25">
      <c r="A4" s="5">
        <v>44437</v>
      </c>
      <c r="B4" s="6" t="s">
        <v>19</v>
      </c>
      <c r="C4" s="6" t="s">
        <v>29</v>
      </c>
      <c r="D4" s="6" t="s">
        <v>20</v>
      </c>
      <c r="E4" s="6" t="s">
        <v>329</v>
      </c>
      <c r="F4" s="6" t="s">
        <v>21</v>
      </c>
      <c r="G4" s="6">
        <v>70000</v>
      </c>
      <c r="H4" s="6" t="s">
        <v>33</v>
      </c>
      <c r="I4" s="6" t="s">
        <v>120</v>
      </c>
      <c r="J4" s="7">
        <v>0.70486111111111116</v>
      </c>
      <c r="K4" s="8">
        <v>0.68194444444444446</v>
      </c>
      <c r="L4" s="7">
        <v>0.46875</v>
      </c>
      <c r="M4" s="8">
        <v>0.46736111111111112</v>
      </c>
      <c r="N4" s="6" t="s">
        <v>437</v>
      </c>
      <c r="O4" s="6" t="s">
        <v>434</v>
      </c>
      <c r="P4" s="6">
        <v>389</v>
      </c>
      <c r="Q4" s="6">
        <v>1746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44437</v>
      </c>
      <c r="B5" s="6" t="s">
        <v>19</v>
      </c>
      <c r="C5" s="6" t="s">
        <v>34</v>
      </c>
      <c r="D5" s="6" t="s">
        <v>20</v>
      </c>
      <c r="E5" s="6" t="s">
        <v>289</v>
      </c>
      <c r="F5" s="6" t="s">
        <v>21</v>
      </c>
      <c r="G5" s="6">
        <v>70000</v>
      </c>
      <c r="H5" s="6" t="s">
        <v>35</v>
      </c>
      <c r="I5" s="6" t="s">
        <v>36</v>
      </c>
      <c r="J5" s="7">
        <v>0.69097222222222221</v>
      </c>
      <c r="K5" s="8">
        <v>0.69305555555555554</v>
      </c>
      <c r="L5" s="7">
        <v>0.54166666666666663</v>
      </c>
      <c r="M5" s="8">
        <v>0.55486111111111114</v>
      </c>
      <c r="N5" s="6" t="s">
        <v>438</v>
      </c>
      <c r="O5" s="6" t="s">
        <v>436</v>
      </c>
      <c r="P5" s="6">
        <v>313</v>
      </c>
      <c r="Q5" s="6">
        <v>855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44437</v>
      </c>
      <c r="B6" s="6" t="s">
        <v>19</v>
      </c>
      <c r="C6" s="6" t="s">
        <v>22</v>
      </c>
      <c r="D6" s="6" t="s">
        <v>20</v>
      </c>
      <c r="E6" s="6" t="s">
        <v>289</v>
      </c>
      <c r="F6" s="6" t="s">
        <v>21</v>
      </c>
      <c r="G6" s="6">
        <v>70000</v>
      </c>
      <c r="H6" s="6" t="s">
        <v>23</v>
      </c>
      <c r="I6" s="6" t="s">
        <v>24</v>
      </c>
      <c r="J6" s="7">
        <v>0.90625</v>
      </c>
      <c r="K6" s="8">
        <v>0.91319444444444453</v>
      </c>
      <c r="L6" s="7">
        <v>0.71527777777777779</v>
      </c>
      <c r="M6" s="8">
        <v>0.7402777777777777</v>
      </c>
      <c r="N6" s="6" t="s">
        <v>439</v>
      </c>
      <c r="O6" s="6" t="s">
        <v>243</v>
      </c>
      <c r="P6" s="6">
        <v>904</v>
      </c>
      <c r="Q6" s="6">
        <v>1369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44437</v>
      </c>
      <c r="B7" s="6" t="s">
        <v>19</v>
      </c>
      <c r="C7" s="6" t="s">
        <v>30</v>
      </c>
      <c r="D7" s="6" t="s">
        <v>20</v>
      </c>
      <c r="E7" s="6" t="s">
        <v>329</v>
      </c>
      <c r="F7" s="6" t="s">
        <v>21</v>
      </c>
      <c r="G7" s="6">
        <v>70000</v>
      </c>
      <c r="H7" s="6" t="s">
        <v>32</v>
      </c>
      <c r="I7" s="6" t="s">
        <v>31</v>
      </c>
      <c r="J7" s="7">
        <v>0.94097222222222221</v>
      </c>
      <c r="K7" s="8">
        <v>0.93680555555555556</v>
      </c>
      <c r="L7" s="7">
        <v>0.72569444444444453</v>
      </c>
      <c r="M7" s="8">
        <v>0.73819444444444438</v>
      </c>
      <c r="N7" s="6" t="s">
        <v>440</v>
      </c>
      <c r="O7" s="6" t="s">
        <v>132</v>
      </c>
      <c r="P7" s="6">
        <v>403</v>
      </c>
      <c r="Q7" s="6">
        <v>998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M8" s="26"/>
      <c r="N8" s="26"/>
      <c r="O8" s="26"/>
      <c r="P8" s="26"/>
    </row>
    <row r="9" spans="1:21" x14ac:dyDescent="0.25">
      <c r="M9" s="26"/>
      <c r="N9" s="26"/>
      <c r="O9" s="26"/>
      <c r="P9" s="26"/>
    </row>
    <row r="10" spans="1:21" x14ac:dyDescent="0.25">
      <c r="M10" s="26"/>
      <c r="N10" s="26"/>
      <c r="O10" s="26"/>
      <c r="P10" s="26"/>
    </row>
    <row r="11" spans="1:21" x14ac:dyDescent="0.25">
      <c r="M11" s="26"/>
      <c r="N11" s="26"/>
      <c r="O11" s="26"/>
      <c r="P11" s="26"/>
    </row>
    <row r="12" spans="1:21" x14ac:dyDescent="0.25">
      <c r="O12" s="26"/>
      <c r="P12" s="2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6" sqref="K6"/>
    </sheetView>
  </sheetViews>
  <sheetFormatPr defaultRowHeight="15" x14ac:dyDescent="0.25"/>
  <cols>
    <col min="1" max="1" width="10.140625" bestFit="1" customWidth="1"/>
    <col min="3" max="3" width="14.42578125" customWidth="1"/>
    <col min="6" max="6" width="12.140625" customWidth="1"/>
    <col min="7" max="7" width="6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1" s="2" customFormat="1" ht="14.45" customHeight="1" x14ac:dyDescent="0.2">
      <c r="A2" s="5">
        <v>44438</v>
      </c>
      <c r="B2" s="6" t="s">
        <v>19</v>
      </c>
      <c r="C2" s="6" t="s">
        <v>25</v>
      </c>
      <c r="D2" s="6" t="s">
        <v>20</v>
      </c>
      <c r="E2" s="6" t="s">
        <v>358</v>
      </c>
      <c r="F2" s="6" t="s">
        <v>21</v>
      </c>
      <c r="G2" s="6">
        <v>70000</v>
      </c>
      <c r="H2" s="6" t="s">
        <v>26</v>
      </c>
      <c r="I2" s="6" t="s">
        <v>27</v>
      </c>
      <c r="J2" s="7">
        <v>0.45833333333333331</v>
      </c>
      <c r="K2" s="8">
        <v>0.51874999999999993</v>
      </c>
      <c r="L2" s="7">
        <v>0.25694444444444448</v>
      </c>
      <c r="M2" s="8">
        <v>0.34861111111111115</v>
      </c>
      <c r="N2" s="6" t="s">
        <v>442</v>
      </c>
      <c r="O2" s="6" t="s">
        <v>441</v>
      </c>
      <c r="P2" s="6">
        <v>491</v>
      </c>
      <c r="Q2" s="6">
        <v>856</v>
      </c>
      <c r="R2" s="2">
        <v>0</v>
      </c>
      <c r="S2" s="2">
        <v>0</v>
      </c>
      <c r="T2" s="2">
        <v>0</v>
      </c>
      <c r="U2" s="2">
        <v>0</v>
      </c>
    </row>
    <row r="3" spans="1:21" s="2" customFormat="1" ht="14.45" customHeight="1" x14ac:dyDescent="0.2">
      <c r="A3" s="5">
        <v>44438</v>
      </c>
      <c r="B3" s="5" t="s">
        <v>19</v>
      </c>
      <c r="C3" s="6" t="s">
        <v>68</v>
      </c>
      <c r="D3" s="6" t="s">
        <v>20</v>
      </c>
      <c r="E3" s="6" t="s">
        <v>291</v>
      </c>
      <c r="F3" s="6" t="s">
        <v>21</v>
      </c>
      <c r="G3" s="6">
        <v>70000</v>
      </c>
      <c r="H3" s="6" t="s">
        <v>73</v>
      </c>
      <c r="I3" s="6" t="s">
        <v>74</v>
      </c>
      <c r="J3" s="7">
        <v>0.4375</v>
      </c>
      <c r="K3" s="8">
        <v>0.43888888888888888</v>
      </c>
      <c r="L3" s="7">
        <v>0.27083333333333331</v>
      </c>
      <c r="M3" s="8">
        <v>0.28611111111111115</v>
      </c>
      <c r="N3" s="6" t="s">
        <v>375</v>
      </c>
      <c r="O3" s="6" t="s">
        <v>384</v>
      </c>
      <c r="P3" s="6">
        <v>381</v>
      </c>
      <c r="Q3" s="6">
        <v>812</v>
      </c>
      <c r="R3" s="6">
        <v>0</v>
      </c>
      <c r="S3" s="6">
        <v>0</v>
      </c>
      <c r="T3" s="6">
        <v>0</v>
      </c>
      <c r="U3" s="6">
        <v>0</v>
      </c>
    </row>
    <row r="4" spans="1:21" s="2" customFormat="1" ht="14.45" customHeight="1" x14ac:dyDescent="0.2">
      <c r="A4" s="5">
        <v>44438</v>
      </c>
      <c r="B4" s="6" t="s">
        <v>19</v>
      </c>
      <c r="C4" s="6" t="s">
        <v>59</v>
      </c>
      <c r="D4" s="6" t="s">
        <v>20</v>
      </c>
      <c r="E4" s="6" t="s">
        <v>291</v>
      </c>
      <c r="F4" s="6" t="s">
        <v>21</v>
      </c>
      <c r="G4" s="6">
        <v>70000</v>
      </c>
      <c r="H4" s="6" t="s">
        <v>60</v>
      </c>
      <c r="I4" s="6" t="s">
        <v>61</v>
      </c>
      <c r="J4" s="7">
        <v>0.91666666666666663</v>
      </c>
      <c r="K4" s="8">
        <v>0.92361111111111116</v>
      </c>
      <c r="L4" s="7">
        <v>0.46875</v>
      </c>
      <c r="M4" s="8">
        <v>0.4770833333333333</v>
      </c>
      <c r="N4" s="6" t="s">
        <v>450</v>
      </c>
      <c r="O4" s="6" t="s">
        <v>114</v>
      </c>
      <c r="P4" s="6">
        <v>943</v>
      </c>
      <c r="Q4" s="6">
        <v>792</v>
      </c>
      <c r="R4" s="2">
        <v>0</v>
      </c>
      <c r="S4" s="2">
        <v>0</v>
      </c>
      <c r="T4" s="2">
        <v>0</v>
      </c>
      <c r="U4" s="2">
        <v>0</v>
      </c>
    </row>
    <row r="5" spans="1:21" s="2" customFormat="1" ht="14.45" customHeight="1" x14ac:dyDescent="0.2">
      <c r="A5" s="5">
        <v>44438</v>
      </c>
      <c r="B5" s="6" t="s">
        <v>19</v>
      </c>
      <c r="C5" s="6" t="s">
        <v>62</v>
      </c>
      <c r="D5" s="6" t="s">
        <v>20</v>
      </c>
      <c r="E5" s="6" t="s">
        <v>358</v>
      </c>
      <c r="F5" s="6" t="s">
        <v>21</v>
      </c>
      <c r="G5" s="6">
        <v>70000</v>
      </c>
      <c r="H5" s="6" t="s">
        <v>63</v>
      </c>
      <c r="I5" s="6" t="s">
        <v>64</v>
      </c>
      <c r="J5" s="7">
        <v>0.71875</v>
      </c>
      <c r="K5" s="8">
        <v>0.75</v>
      </c>
      <c r="L5" s="7">
        <v>0.48958333333333331</v>
      </c>
      <c r="M5" s="8">
        <v>0.55069444444444449</v>
      </c>
      <c r="N5" s="6" t="s">
        <v>448</v>
      </c>
      <c r="O5" s="6" t="s">
        <v>443</v>
      </c>
      <c r="P5" s="6">
        <v>309</v>
      </c>
      <c r="Q5" s="6">
        <v>1522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ht="14.45" customHeight="1" x14ac:dyDescent="0.2">
      <c r="A6" s="5">
        <v>44438</v>
      </c>
      <c r="B6" s="6" t="s">
        <v>19</v>
      </c>
      <c r="C6" s="6" t="s">
        <v>65</v>
      </c>
      <c r="D6" s="6" t="s">
        <v>20</v>
      </c>
      <c r="E6" s="6" t="s">
        <v>358</v>
      </c>
      <c r="F6" s="6" t="s">
        <v>21</v>
      </c>
      <c r="G6" s="6">
        <v>70000</v>
      </c>
      <c r="H6" s="6" t="s">
        <v>66</v>
      </c>
      <c r="I6" s="6" t="s">
        <v>67</v>
      </c>
      <c r="J6" s="3">
        <v>0.92013888888888884</v>
      </c>
      <c r="K6" s="8">
        <v>0.9902777777777777</v>
      </c>
      <c r="L6" s="3">
        <v>0.73958333333333337</v>
      </c>
      <c r="M6" s="4">
        <v>0.83611111111111114</v>
      </c>
      <c r="N6" s="6" t="s">
        <v>451</v>
      </c>
      <c r="O6" s="6" t="s">
        <v>449</v>
      </c>
      <c r="P6" s="2">
        <v>465</v>
      </c>
      <c r="Q6" s="2">
        <v>1157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5">
        <v>44438</v>
      </c>
      <c r="B7" s="6" t="s">
        <v>444</v>
      </c>
      <c r="C7" s="6" t="s">
        <v>445</v>
      </c>
      <c r="D7" s="6" t="s">
        <v>446</v>
      </c>
      <c r="E7" s="6" t="s">
        <v>447</v>
      </c>
      <c r="F7" s="6" t="s">
        <v>184</v>
      </c>
      <c r="G7" s="6">
        <v>16000</v>
      </c>
      <c r="H7" s="6"/>
      <c r="I7" s="6"/>
      <c r="J7" s="8">
        <v>0.57291666666666663</v>
      </c>
      <c r="K7" s="8">
        <v>0.60069444444444442</v>
      </c>
      <c r="L7" s="8">
        <v>0.60069444444444442</v>
      </c>
      <c r="M7" s="8">
        <v>0.62638888888888888</v>
      </c>
      <c r="N7" s="6" t="s">
        <v>452</v>
      </c>
      <c r="O7" s="9" t="s">
        <v>453</v>
      </c>
      <c r="P7" s="8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G22" sqref="G22"/>
    </sheetView>
  </sheetViews>
  <sheetFormatPr defaultRowHeight="15" x14ac:dyDescent="0.25"/>
  <cols>
    <col min="3" max="3" width="14.57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58</v>
      </c>
    </row>
    <row r="2" spans="1:22" x14ac:dyDescent="0.25">
      <c r="A2" s="5">
        <v>44439</v>
      </c>
      <c r="B2" s="6" t="s">
        <v>19</v>
      </c>
      <c r="C2" s="6" t="s">
        <v>83</v>
      </c>
      <c r="D2" s="6" t="s">
        <v>20</v>
      </c>
      <c r="E2" s="6" t="s">
        <v>289</v>
      </c>
      <c r="F2" s="6" t="s">
        <v>21</v>
      </c>
      <c r="G2" s="6">
        <v>70000</v>
      </c>
      <c r="H2" s="6" t="s">
        <v>84</v>
      </c>
      <c r="I2" s="6" t="s">
        <v>85</v>
      </c>
      <c r="J2" s="7">
        <v>0.375</v>
      </c>
      <c r="K2" s="8">
        <v>0.38819444444444445</v>
      </c>
      <c r="L2" s="7">
        <v>0.25694444444444448</v>
      </c>
      <c r="M2" s="8">
        <v>0.27638888888888885</v>
      </c>
      <c r="N2" s="6" t="s">
        <v>455</v>
      </c>
      <c r="O2" s="6" t="s">
        <v>454</v>
      </c>
      <c r="P2" s="6">
        <v>443</v>
      </c>
      <c r="Q2" s="6">
        <v>597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44439</v>
      </c>
      <c r="B3" s="6" t="s">
        <v>19</v>
      </c>
      <c r="C3" s="6" t="s">
        <v>89</v>
      </c>
      <c r="D3" s="6" t="s">
        <v>20</v>
      </c>
      <c r="E3" s="6" t="s">
        <v>329</v>
      </c>
      <c r="F3" s="6" t="s">
        <v>21</v>
      </c>
      <c r="G3" s="6">
        <v>70000</v>
      </c>
      <c r="H3" s="6" t="s">
        <v>90</v>
      </c>
      <c r="I3" s="6" t="s">
        <v>91</v>
      </c>
      <c r="J3" s="7">
        <v>0.4513888888888889</v>
      </c>
      <c r="K3" s="8">
        <v>0.45555555555555555</v>
      </c>
      <c r="L3" s="7">
        <v>0.27777777777777779</v>
      </c>
      <c r="M3" s="8">
        <v>0.29097222222222224</v>
      </c>
      <c r="N3" s="6" t="s">
        <v>457</v>
      </c>
      <c r="O3" s="6" t="s">
        <v>172</v>
      </c>
      <c r="P3" s="6">
        <v>677</v>
      </c>
      <c r="Q3" s="6">
        <v>976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v>44439</v>
      </c>
      <c r="B4" s="6" t="s">
        <v>19</v>
      </c>
      <c r="C4" s="6" t="s">
        <v>86</v>
      </c>
      <c r="D4" s="6" t="s">
        <v>20</v>
      </c>
      <c r="E4" s="6" t="s">
        <v>289</v>
      </c>
      <c r="F4" s="6" t="s">
        <v>21</v>
      </c>
      <c r="G4" s="6">
        <v>70000</v>
      </c>
      <c r="H4" s="6" t="s">
        <v>87</v>
      </c>
      <c r="I4" s="6" t="s">
        <v>88</v>
      </c>
      <c r="J4" s="7">
        <v>0.5625</v>
      </c>
      <c r="K4" s="8">
        <v>0.57847222222222217</v>
      </c>
      <c r="L4" s="7">
        <v>0.39583333333333331</v>
      </c>
      <c r="M4" s="8">
        <v>0.42222222222222222</v>
      </c>
      <c r="N4" s="6" t="s">
        <v>459</v>
      </c>
      <c r="O4" s="6" t="s">
        <v>117</v>
      </c>
      <c r="P4" s="6">
        <v>459</v>
      </c>
      <c r="Q4" s="6">
        <v>820</v>
      </c>
      <c r="R4" s="6">
        <v>0</v>
      </c>
      <c r="S4" s="6">
        <v>0</v>
      </c>
      <c r="T4" s="6">
        <v>0</v>
      </c>
      <c r="U4" s="6">
        <v>0</v>
      </c>
    </row>
    <row r="5" spans="1:22" x14ac:dyDescent="0.25">
      <c r="A5" s="5">
        <v>44439</v>
      </c>
      <c r="B5" s="6" t="s">
        <v>19</v>
      </c>
      <c r="C5" s="6" t="s">
        <v>92</v>
      </c>
      <c r="D5" s="6" t="s">
        <v>20</v>
      </c>
      <c r="E5" s="6" t="s">
        <v>329</v>
      </c>
      <c r="F5" s="6" t="s">
        <v>21</v>
      </c>
      <c r="G5" s="6">
        <v>70000</v>
      </c>
      <c r="H5" s="6" t="s">
        <v>93</v>
      </c>
      <c r="I5" s="6" t="s">
        <v>94</v>
      </c>
      <c r="J5" s="7">
        <v>0.6875</v>
      </c>
      <c r="K5" s="8">
        <v>0.68611111111111101</v>
      </c>
      <c r="L5" s="7">
        <v>0.4826388888888889</v>
      </c>
      <c r="M5" s="8">
        <v>0.49513888888888885</v>
      </c>
      <c r="N5" s="6" t="s">
        <v>460</v>
      </c>
      <c r="O5" s="6" t="s">
        <v>458</v>
      </c>
      <c r="P5" s="6">
        <v>306</v>
      </c>
      <c r="Q5" s="6">
        <v>1397</v>
      </c>
      <c r="R5" s="6">
        <v>0</v>
      </c>
      <c r="S5" s="6">
        <v>0</v>
      </c>
      <c r="T5" s="6">
        <v>0</v>
      </c>
      <c r="U5" s="6">
        <v>0</v>
      </c>
    </row>
    <row r="6" spans="1:22" x14ac:dyDescent="0.25">
      <c r="A6" s="5">
        <v>44439</v>
      </c>
      <c r="B6" s="5" t="s">
        <v>19</v>
      </c>
      <c r="C6" s="6" t="s">
        <v>95</v>
      </c>
      <c r="D6" s="6" t="s">
        <v>20</v>
      </c>
      <c r="E6" s="6" t="s">
        <v>289</v>
      </c>
      <c r="F6" s="6" t="s">
        <v>21</v>
      </c>
      <c r="G6" s="6">
        <v>70000</v>
      </c>
      <c r="H6" s="6" t="s">
        <v>96</v>
      </c>
      <c r="I6" s="6" t="s">
        <v>97</v>
      </c>
      <c r="J6" s="7">
        <v>0.95486111111111116</v>
      </c>
      <c r="K6" s="8">
        <v>0.9506944444444444</v>
      </c>
      <c r="L6" s="7">
        <v>0.60069444444444442</v>
      </c>
      <c r="M6" s="8">
        <v>0.61527777777777781</v>
      </c>
      <c r="N6" s="6" t="s">
        <v>461</v>
      </c>
      <c r="O6" s="6" t="s">
        <v>117</v>
      </c>
      <c r="P6" s="6">
        <v>673</v>
      </c>
      <c r="Q6" s="6">
        <v>1036</v>
      </c>
      <c r="R6" s="6">
        <v>0</v>
      </c>
      <c r="S6" s="6">
        <v>0</v>
      </c>
      <c r="T6" s="6">
        <v>0</v>
      </c>
      <c r="U6" s="6">
        <v>0</v>
      </c>
    </row>
    <row r="7" spans="1:22" x14ac:dyDescent="0.25">
      <c r="A7" s="5">
        <v>44439</v>
      </c>
      <c r="B7" s="6" t="s">
        <v>101</v>
      </c>
      <c r="C7" s="6" t="s">
        <v>102</v>
      </c>
      <c r="D7" s="6" t="s">
        <v>20</v>
      </c>
      <c r="E7" s="6" t="s">
        <v>105</v>
      </c>
      <c r="F7" s="6" t="s">
        <v>137</v>
      </c>
      <c r="G7" s="6">
        <v>77000</v>
      </c>
      <c r="H7" s="6" t="s">
        <v>103</v>
      </c>
      <c r="I7" s="6" t="s">
        <v>104</v>
      </c>
      <c r="J7" s="7">
        <v>0.3298611111111111</v>
      </c>
      <c r="K7" s="8">
        <v>0.30902777777777779</v>
      </c>
      <c r="L7" s="7">
        <v>0.37152777777777773</v>
      </c>
      <c r="M7" s="8">
        <v>0.3659722222222222</v>
      </c>
      <c r="N7" s="6" t="s">
        <v>456</v>
      </c>
      <c r="O7" s="6" t="s">
        <v>325</v>
      </c>
      <c r="P7" s="6">
        <v>2554</v>
      </c>
      <c r="Q7" s="6">
        <v>2340</v>
      </c>
      <c r="R7" s="6">
        <v>0</v>
      </c>
      <c r="S7" s="6">
        <v>0</v>
      </c>
      <c r="T7" s="6">
        <v>0</v>
      </c>
      <c r="U7" s="6">
        <v>0</v>
      </c>
      <c r="V7" s="10"/>
    </row>
    <row r="8" spans="1:22" x14ac:dyDescent="0.25">
      <c r="A8" s="5"/>
      <c r="B8" s="28"/>
      <c r="C8" s="28"/>
      <c r="D8" s="28"/>
      <c r="E8" s="28"/>
      <c r="F8" s="29"/>
      <c r="G8" s="30"/>
      <c r="H8" s="29"/>
      <c r="I8" s="29"/>
      <c r="J8" s="7"/>
      <c r="K8" s="8"/>
      <c r="L8" s="7"/>
      <c r="M8" s="8"/>
      <c r="N8" s="6"/>
      <c r="O8" s="6"/>
      <c r="P8" s="6"/>
      <c r="Q8" s="6"/>
      <c r="R8" s="6"/>
      <c r="S8" s="6"/>
      <c r="T8" s="6"/>
      <c r="U8" s="6"/>
    </row>
    <row r="9" spans="1:22" x14ac:dyDescent="0.25">
      <c r="A9" s="5"/>
      <c r="B9" s="28"/>
      <c r="C9" s="28"/>
      <c r="D9" s="28"/>
      <c r="E9" s="28"/>
      <c r="F9" s="29"/>
      <c r="G9" s="30"/>
      <c r="H9" s="29"/>
      <c r="I9" s="29"/>
      <c r="J9" s="7"/>
      <c r="K9" s="8"/>
      <c r="L9" s="7"/>
      <c r="M9" s="8"/>
      <c r="N9" s="6"/>
      <c r="O9" s="6"/>
      <c r="P9" s="6"/>
      <c r="Q9" s="6"/>
      <c r="R9" s="6"/>
      <c r="S9" s="6"/>
      <c r="T9" s="6"/>
      <c r="U9" s="6"/>
    </row>
    <row r="10" spans="1:22" x14ac:dyDescent="0.25">
      <c r="A10" s="5"/>
      <c r="B10" s="28"/>
      <c r="C10" s="28"/>
      <c r="D10" s="6"/>
      <c r="E10" s="6"/>
      <c r="F10" s="29"/>
      <c r="G10" s="30"/>
      <c r="H10" s="29"/>
      <c r="I10" s="29"/>
      <c r="J10" s="7"/>
      <c r="K10" s="8"/>
      <c r="L10" s="7"/>
      <c r="M10" s="8"/>
      <c r="N10" s="6"/>
      <c r="O10" s="6"/>
      <c r="P10" s="6"/>
      <c r="Q10" s="6"/>
      <c r="R10" s="6"/>
      <c r="S10" s="6"/>
      <c r="T10" s="6"/>
      <c r="U10" s="6"/>
    </row>
    <row r="11" spans="1:22" x14ac:dyDescent="0.25">
      <c r="A11" s="5"/>
      <c r="B11" s="28"/>
      <c r="C11" s="28"/>
      <c r="D11" s="28"/>
      <c r="E11" s="28"/>
      <c r="F11" s="29"/>
      <c r="G11" s="30"/>
      <c r="H11" s="29"/>
      <c r="I11" s="29"/>
      <c r="J11" s="7"/>
      <c r="K11" s="8"/>
      <c r="L11" s="7"/>
      <c r="M11" s="8"/>
      <c r="N11" s="6"/>
      <c r="O11" s="6"/>
      <c r="P11" s="6"/>
      <c r="Q11" s="6"/>
      <c r="R11" s="6"/>
      <c r="S11" s="6"/>
      <c r="T11" s="6"/>
      <c r="U11" s="6"/>
    </row>
    <row r="12" spans="1:22" x14ac:dyDescent="0.25">
      <c r="A12" s="5"/>
      <c r="B12" s="28"/>
      <c r="C12" s="28"/>
      <c r="D12" s="28"/>
      <c r="E12" s="28"/>
      <c r="F12" s="29"/>
      <c r="G12" s="30"/>
      <c r="H12" s="29"/>
      <c r="I12" s="29"/>
      <c r="J12" s="7"/>
      <c r="K12" s="8"/>
      <c r="L12" s="7"/>
      <c r="M12" s="8"/>
      <c r="N12" s="6"/>
      <c r="O12" s="6"/>
      <c r="P12" s="6"/>
      <c r="Q12" s="6"/>
      <c r="R12" s="6"/>
      <c r="S12" s="6"/>
      <c r="T12" s="6"/>
      <c r="U12" s="6"/>
    </row>
    <row r="13" spans="1:22" x14ac:dyDescent="0.25">
      <c r="A13" s="5"/>
      <c r="B13" s="28"/>
      <c r="C13" s="28"/>
      <c r="D13" s="6"/>
      <c r="E13" s="6"/>
      <c r="F13" s="29"/>
      <c r="G13" s="30"/>
      <c r="H13" s="29"/>
      <c r="I13" s="29"/>
      <c r="J13" s="7"/>
      <c r="K13" s="8"/>
      <c r="L13" s="7"/>
      <c r="M13" s="8"/>
      <c r="N13" s="6"/>
      <c r="O13" s="6"/>
      <c r="P13" s="6"/>
      <c r="Q13" s="6"/>
      <c r="R13" s="6"/>
      <c r="S13" s="6"/>
      <c r="T13" s="6"/>
      <c r="U13" s="6"/>
    </row>
    <row r="14" spans="1:22" x14ac:dyDescent="0.25">
      <c r="A14" s="5"/>
      <c r="B14" s="28"/>
      <c r="C14" s="28"/>
      <c r="D14" s="6"/>
      <c r="E14" s="6"/>
      <c r="F14" s="29"/>
      <c r="G14" s="30"/>
      <c r="H14" s="29"/>
      <c r="I14" s="29"/>
      <c r="J14" s="7"/>
      <c r="K14" s="8"/>
      <c r="L14" s="7"/>
      <c r="M14" s="8"/>
      <c r="N14" s="6"/>
      <c r="O14" s="6"/>
      <c r="P14" s="6"/>
      <c r="Q14" s="6"/>
      <c r="R14" s="6"/>
      <c r="S14" s="6"/>
      <c r="T14" s="6"/>
      <c r="U14" s="6"/>
    </row>
    <row r="15" spans="1:22" x14ac:dyDescent="0.25">
      <c r="A15" s="5"/>
      <c r="B15" s="31"/>
      <c r="C15" s="28"/>
      <c r="D15" s="9"/>
      <c r="E15" s="6"/>
      <c r="F15" s="29"/>
      <c r="G15" s="30"/>
      <c r="H15" s="29"/>
      <c r="I15" s="29"/>
      <c r="J15" s="7"/>
      <c r="K15" s="8"/>
      <c r="L15" s="7"/>
      <c r="M15" s="8"/>
      <c r="N15" s="6"/>
      <c r="O15" s="6"/>
      <c r="P15" s="6"/>
      <c r="Q15" s="6"/>
      <c r="R15" s="6"/>
      <c r="S15" s="6"/>
      <c r="T15" s="6"/>
      <c r="U15" s="6"/>
    </row>
    <row r="16" spans="1:22" x14ac:dyDescent="0.25">
      <c r="A16" s="5"/>
      <c r="B16" s="28"/>
      <c r="C16" s="28"/>
      <c r="D16" s="28"/>
      <c r="E16" s="28"/>
      <c r="F16" s="29"/>
      <c r="G16" s="30"/>
      <c r="H16" s="29"/>
      <c r="I16" s="29"/>
      <c r="J16" s="7"/>
      <c r="K16" s="8"/>
      <c r="L16" s="7"/>
      <c r="M16" s="8"/>
      <c r="N16" s="6"/>
      <c r="O16" s="6"/>
      <c r="P16" s="6"/>
      <c r="Q16" s="6"/>
      <c r="R16" s="6"/>
      <c r="S16" s="6"/>
      <c r="T16" s="6"/>
      <c r="U16" s="6"/>
    </row>
    <row r="17" spans="1:21" x14ac:dyDescent="0.25">
      <c r="A17" s="5"/>
      <c r="B17" s="28"/>
      <c r="C17" s="28"/>
      <c r="D17" s="28"/>
      <c r="E17" s="28"/>
      <c r="F17" s="29"/>
      <c r="G17" s="30"/>
      <c r="H17" s="29"/>
      <c r="I17" s="29"/>
      <c r="J17" s="7"/>
      <c r="K17" s="8"/>
      <c r="L17" s="7"/>
      <c r="M17" s="8"/>
      <c r="N17" s="6"/>
      <c r="O17" s="6"/>
      <c r="P17" s="6"/>
      <c r="Q17" s="6"/>
      <c r="R17" s="6"/>
      <c r="S17" s="6"/>
      <c r="T17" s="6"/>
      <c r="U17" s="6"/>
    </row>
    <row r="18" spans="1:21" x14ac:dyDescent="0.25">
      <c r="A18" s="5"/>
      <c r="B18" s="28"/>
      <c r="C18" s="28"/>
      <c r="D18" s="6"/>
      <c r="E18" s="6"/>
      <c r="F18" s="29"/>
      <c r="G18" s="30"/>
      <c r="H18" s="29"/>
      <c r="I18" s="29"/>
      <c r="J18" s="7"/>
      <c r="K18" s="8"/>
      <c r="L18" s="7"/>
      <c r="M18" s="8"/>
      <c r="N18" s="6"/>
      <c r="O18" s="6"/>
      <c r="P18" s="6"/>
      <c r="Q18" s="6"/>
      <c r="R18" s="6"/>
      <c r="S18" s="6"/>
      <c r="T18" s="6"/>
      <c r="U18" s="6"/>
    </row>
    <row r="19" spans="1:21" x14ac:dyDescent="0.25">
      <c r="A19" s="5"/>
      <c r="B19" s="28"/>
      <c r="C19" s="28"/>
      <c r="D19" s="28"/>
      <c r="E19" s="28"/>
      <c r="F19" s="29"/>
      <c r="G19" s="30"/>
      <c r="H19" s="29"/>
      <c r="I19" s="29"/>
      <c r="J19" s="7"/>
      <c r="K19" s="8"/>
      <c r="L19" s="7"/>
      <c r="M19" s="8"/>
      <c r="N19" s="6"/>
      <c r="O19" s="6"/>
      <c r="P19" s="6"/>
      <c r="Q19" s="6"/>
      <c r="R19" s="6"/>
      <c r="S19" s="6"/>
      <c r="T19" s="6"/>
      <c r="U19" s="6"/>
    </row>
    <row r="20" spans="1:21" x14ac:dyDescent="0.25">
      <c r="A20" s="5"/>
      <c r="B20" s="28"/>
      <c r="C20" s="28"/>
      <c r="D20" s="28"/>
      <c r="E20" s="28"/>
      <c r="F20" s="29"/>
      <c r="G20" s="30"/>
      <c r="H20" s="29"/>
      <c r="I20" s="29"/>
      <c r="J20" s="7"/>
      <c r="K20" s="8"/>
      <c r="L20" s="7"/>
      <c r="M20" s="8"/>
      <c r="N20" s="6"/>
      <c r="O20" s="6"/>
      <c r="P20" s="6"/>
      <c r="Q20" s="6"/>
      <c r="R20" s="6"/>
      <c r="S20" s="6"/>
      <c r="T20" s="6"/>
      <c r="U20" s="6"/>
    </row>
    <row r="21" spans="1:21" x14ac:dyDescent="0.25">
      <c r="A21" s="5"/>
      <c r="B21" s="28"/>
      <c r="C21" s="28"/>
      <c r="D21" s="6"/>
      <c r="E21" s="6"/>
      <c r="F21" s="29"/>
      <c r="G21" s="30"/>
      <c r="H21" s="29"/>
      <c r="I21" s="29"/>
      <c r="J21" s="7"/>
      <c r="K21" s="8"/>
      <c r="L21" s="7"/>
      <c r="M21" s="8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5"/>
      <c r="B22" s="28"/>
      <c r="C22" s="28"/>
      <c r="D22" s="6"/>
      <c r="E22" s="6"/>
      <c r="F22" s="29"/>
      <c r="G22" s="30"/>
      <c r="H22" s="29"/>
      <c r="I22" s="29"/>
      <c r="J22" s="7"/>
      <c r="K22" s="8"/>
      <c r="L22" s="7"/>
      <c r="M22" s="8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A23" s="5"/>
      <c r="B23" s="31"/>
      <c r="C23" s="28"/>
      <c r="D23" s="9"/>
      <c r="E23" s="6"/>
      <c r="F23" s="29"/>
      <c r="G23" s="30"/>
      <c r="H23" s="29"/>
      <c r="I23" s="29"/>
      <c r="J23" s="7"/>
      <c r="K23" s="8"/>
      <c r="L23" s="7"/>
      <c r="M23" s="8"/>
      <c r="N23" s="6"/>
      <c r="O23" s="6"/>
      <c r="P23" s="6"/>
      <c r="Q23" s="6"/>
      <c r="R23" s="6"/>
      <c r="S23" s="6"/>
      <c r="T23" s="6"/>
      <c r="U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cp:lastPrinted>2021-08-15T09:07:18Z</cp:lastPrinted>
  <dcterms:created xsi:type="dcterms:W3CDTF">2021-02-01T03:54:40Z</dcterms:created>
  <dcterms:modified xsi:type="dcterms:W3CDTF">2021-09-15T20:14:46Z</dcterms:modified>
</cp:coreProperties>
</file>