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PC-TZL\Desktop\STATISTIČKI IZVJEŠTAJI\2025\Dnevni izvještaji\10. OKTOBAR\"/>
    </mc:Choice>
  </mc:AlternateContent>
  <xr:revisionPtr revIDLastSave="0" documentId="13_ncr:1_{84E29777-1DC2-4555-947C-D33FF952C170}" xr6:coauthVersionLast="37" xr6:coauthVersionMax="37" xr10:uidLastSave="{00000000-0000-0000-0000-000000000000}"/>
  <bookViews>
    <workbookView xWindow="0" yWindow="0" windowWidth="28800" windowHeight="12105" tabRatio="891" xr2:uid="{00000000-000D-0000-FFFF-FFFF00000000}"/>
  </bookViews>
  <sheets>
    <sheet name="Redovni promet" sheetId="7" r:id="rId1"/>
    <sheet name="Vanredni promet" sheetId="10" r:id="rId2"/>
    <sheet name="DOMESTIC FLIGHT" sheetId="20" r:id="rId3"/>
    <sheet name="Ostala slijetanja" sheetId="17" r:id="rId4"/>
    <sheet name="Izvještaj za fakturisanje WZZ" sheetId="18" r:id="rId5"/>
    <sheet name="Izvještaj za fakturisanje PGT" sheetId="21" r:id="rId6"/>
    <sheet name="Izvještaj za fakturisanje Ryana" sheetId="23" r:id="rId7"/>
    <sheet name="Izvještaj za fakturisanje TKJ" sheetId="22" r:id="rId8"/>
    <sheet name="UKUPNO" sheetId="19" r:id="rId9"/>
  </sheets>
  <definedNames>
    <definedName name="_xlnm._FilterDatabase" localSheetId="3" hidden="1">'Ostala slijetanja'!$K$4:$K$38</definedName>
    <definedName name="_xlnm._FilterDatabase" localSheetId="1" hidden="1">'Vanredni promet'!$M$3:$M$38</definedName>
  </definedNames>
  <calcPr calcId="179021"/>
</workbook>
</file>

<file path=xl/calcChain.xml><?xml version="1.0" encoding="utf-8"?>
<calcChain xmlns="http://schemas.openxmlformats.org/spreadsheetml/2006/main">
  <c r="AX9" i="7" l="1"/>
  <c r="AD37" i="7" l="1"/>
  <c r="H25" i="18" s="1"/>
  <c r="F25" i="18"/>
  <c r="E9" i="19" l="1"/>
  <c r="I9" i="19"/>
  <c r="G9" i="19"/>
  <c r="AG37" i="7" l="1"/>
  <c r="AF37" i="7"/>
  <c r="AE37" i="7"/>
  <c r="AF38" i="7" l="1"/>
  <c r="AD38" i="7"/>
  <c r="AX8" i="7"/>
  <c r="M37" i="7" l="1"/>
  <c r="AX10" i="7" l="1"/>
  <c r="AX11" i="7"/>
  <c r="AX12" i="7" l="1"/>
  <c r="E8" i="19" s="1"/>
  <c r="H25" i="23" l="1"/>
  <c r="F23" i="22" l="1"/>
  <c r="F25" i="22" s="1"/>
  <c r="F19" i="18" l="1"/>
  <c r="F23" i="21" l="1"/>
  <c r="F25" i="21" s="1"/>
  <c r="F18" i="18" l="1"/>
  <c r="F17" i="18"/>
  <c r="F20" i="18" l="1"/>
  <c r="H37" i="7"/>
  <c r="G37" i="7"/>
  <c r="F37" i="7"/>
  <c r="E37" i="7"/>
  <c r="H18" i="18" s="1"/>
  <c r="G38" i="7" l="1"/>
  <c r="E38" i="7"/>
  <c r="I37" i="20" l="1"/>
  <c r="H37" i="20"/>
  <c r="G37" i="20"/>
  <c r="F37" i="20"/>
  <c r="E37" i="20"/>
  <c r="D37" i="20"/>
  <c r="C37" i="20"/>
  <c r="R10" i="19" l="1"/>
  <c r="P12" i="19"/>
  <c r="N12" i="19" l="1"/>
  <c r="R9" i="19"/>
  <c r="R12" i="19" s="1"/>
  <c r="D38" i="17"/>
  <c r="E10" i="19" s="1"/>
  <c r="E38" i="17"/>
  <c r="G10" i="19" s="1"/>
  <c r="F23" i="18" l="1"/>
  <c r="AQ37" i="7" l="1"/>
  <c r="AP37" i="7"/>
  <c r="AO37" i="7"/>
  <c r="AN37" i="7"/>
  <c r="R37" i="7"/>
  <c r="Q37" i="7"/>
  <c r="P37" i="7"/>
  <c r="O37" i="7"/>
  <c r="AL37" i="7"/>
  <c r="AK37" i="7"/>
  <c r="AJ37" i="7"/>
  <c r="AI37" i="7"/>
  <c r="AY11" i="7" l="1"/>
  <c r="AZ11" i="7"/>
  <c r="AZ10" i="7"/>
  <c r="H19" i="18"/>
  <c r="AY10" i="7"/>
  <c r="H23" i="22"/>
  <c r="H25" i="22" s="1"/>
  <c r="H23" i="21"/>
  <c r="H25" i="21" s="1"/>
  <c r="AI38" i="7"/>
  <c r="AN38" i="7"/>
  <c r="AP38" i="7"/>
  <c r="Q38" i="7"/>
  <c r="E12" i="19"/>
  <c r="AK38" i="7"/>
  <c r="O38" i="7"/>
  <c r="F24" i="18"/>
  <c r="BA11" i="7" l="1"/>
  <c r="BA10" i="7"/>
  <c r="AN41" i="7"/>
  <c r="AP41" i="7"/>
  <c r="AK41" i="7"/>
  <c r="AI41" i="7"/>
  <c r="F26" i="18"/>
  <c r="F28" i="18" s="1"/>
  <c r="H38" i="17"/>
  <c r="G38" i="17"/>
  <c r="F38" i="17"/>
  <c r="I10" i="19" s="1"/>
  <c r="V43" i="7"/>
  <c r="AB37" i="7"/>
  <c r="AA37" i="7"/>
  <c r="Z37" i="7"/>
  <c r="Y37" i="7"/>
  <c r="W37" i="7"/>
  <c r="V37" i="7"/>
  <c r="U37" i="7"/>
  <c r="T37" i="7"/>
  <c r="H23" i="18" s="1"/>
  <c r="AZ9" i="7" l="1"/>
  <c r="AY9" i="7"/>
  <c r="H24" i="18"/>
  <c r="H26" i="18" s="1"/>
  <c r="K10" i="19"/>
  <c r="T38" i="7"/>
  <c r="Y38" i="7"/>
  <c r="V38" i="7"/>
  <c r="AA38" i="7"/>
  <c r="J37" i="7"/>
  <c r="K37" i="7"/>
  <c r="L37" i="7"/>
  <c r="AZ8" i="7" s="1"/>
  <c r="BA9" i="7" l="1"/>
  <c r="AY8" i="7"/>
  <c r="H17" i="18"/>
  <c r="H20" i="18" s="1"/>
  <c r="H28" i="18" s="1"/>
  <c r="V41" i="7"/>
  <c r="AA41" i="7"/>
  <c r="Y41" i="7"/>
  <c r="T41" i="7"/>
  <c r="J38" i="7"/>
  <c r="AY12" i="7" l="1"/>
  <c r="G8" i="19" s="1"/>
  <c r="G12" i="19" l="1"/>
  <c r="J41" i="7"/>
  <c r="L38" i="7" l="1"/>
  <c r="L41" i="7" s="1"/>
  <c r="AZ12" i="7"/>
  <c r="I8" i="19" s="1"/>
  <c r="I12" i="19" s="1"/>
  <c r="K9" i="19"/>
  <c r="K8" i="19" l="1"/>
  <c r="K12" i="19" s="1"/>
  <c r="BA8" i="7"/>
  <c r="BA12" i="7" s="1"/>
</calcChain>
</file>

<file path=xl/sharedStrings.xml><?xml version="1.0" encoding="utf-8"?>
<sst xmlns="http://schemas.openxmlformats.org/spreadsheetml/2006/main" count="189" uniqueCount="69">
  <si>
    <t>Datum</t>
  </si>
  <si>
    <t>Br. Operacija</t>
  </si>
  <si>
    <t>Ukrcano</t>
  </si>
  <si>
    <t>Iskrcano</t>
  </si>
  <si>
    <t>PUTNICI</t>
  </si>
  <si>
    <t>Istovareno</t>
  </si>
  <si>
    <t>Utovareno</t>
  </si>
  <si>
    <t>RUTA</t>
  </si>
  <si>
    <t>TERET (u tonama)</t>
  </si>
  <si>
    <t>KOMPANIJA</t>
  </si>
  <si>
    <t>DTM</t>
  </si>
  <si>
    <t>MLH</t>
  </si>
  <si>
    <t>FMM</t>
  </si>
  <si>
    <t>UKUPNO</t>
  </si>
  <si>
    <t>WIZZAIR MALTA (W4)</t>
  </si>
  <si>
    <t>Redovni promet</t>
  </si>
  <si>
    <t>Vanredni promet</t>
  </si>
  <si>
    <t>Ostala slijetanja</t>
  </si>
  <si>
    <t>Broj letova</t>
  </si>
  <si>
    <t>Ukupno</t>
  </si>
  <si>
    <t>TERET</t>
  </si>
  <si>
    <t>TIP OPERACIJE</t>
  </si>
  <si>
    <t>Destinacija</t>
  </si>
  <si>
    <t>Broj putnika</t>
  </si>
  <si>
    <t>WIZZ AIR HUNGARY LTD</t>
  </si>
  <si>
    <t>1.</t>
  </si>
  <si>
    <t>Dortmund (DTM)</t>
  </si>
  <si>
    <t>Basel Mulhouse (MLH)</t>
  </si>
  <si>
    <t>Memmingen (FMM)</t>
  </si>
  <si>
    <t>UKUPNO:</t>
  </si>
  <si>
    <t>Izvještaj pripremio:</t>
  </si>
  <si>
    <t>Operativni centar JP "MAT" d.o.o.</t>
  </si>
  <si>
    <t>WIZZ AIR MALTA</t>
  </si>
  <si>
    <t>WIZZ AIR HUNGARY (W6)</t>
  </si>
  <si>
    <t>2.</t>
  </si>
  <si>
    <t>INF</t>
  </si>
  <si>
    <t>SAMO CARGO TEŽINE</t>
  </si>
  <si>
    <t>PEGASUS</t>
  </si>
  <si>
    <t>SAW</t>
  </si>
  <si>
    <t>Istanbul S.Gokcen (SAW)</t>
  </si>
  <si>
    <t>3.</t>
  </si>
  <si>
    <t>AJET</t>
  </si>
  <si>
    <t>PEGASUS AIRLINES</t>
  </si>
  <si>
    <t>AJET AIRLINES</t>
  </si>
  <si>
    <t>Dan</t>
  </si>
  <si>
    <t>PUTNICI U TRANZITU</t>
  </si>
  <si>
    <t>RYANAIR AIRLINES</t>
  </si>
  <si>
    <t>Gothenborg (GOT)</t>
  </si>
  <si>
    <t>Stockholm (NYO)</t>
  </si>
  <si>
    <t>BR.LETOVA</t>
  </si>
  <si>
    <t>UKRCANO</t>
  </si>
  <si>
    <t>ISKRCANO</t>
  </si>
  <si>
    <t>WIZZAIR MALTA</t>
  </si>
  <si>
    <t>petak</t>
  </si>
  <si>
    <t>subota</t>
  </si>
  <si>
    <t>nedjelja</t>
  </si>
  <si>
    <t>ponedjeljak</t>
  </si>
  <si>
    <t>utorak</t>
  </si>
  <si>
    <t>srijeda</t>
  </si>
  <si>
    <t>četvrtak</t>
  </si>
  <si>
    <t>VIE</t>
  </si>
  <si>
    <t>Viena (VIE)</t>
  </si>
  <si>
    <t>Izvještaj o broju odlazećih putnika WIZZAIR                          za mjesec OKTOBAR 2025. godine</t>
  </si>
  <si>
    <t>Izvještaj o broju odlazećih putnika za mjesec OKTOBAR 2025. godine</t>
  </si>
  <si>
    <t>Izvještaj o broju dolazećih putnika za mjesec OKTOBAR 2025. godine</t>
  </si>
  <si>
    <t>ZRH-TZL-ZRH</t>
  </si>
  <si>
    <t>SWISS AIR AMBULANCE LTD</t>
  </si>
  <si>
    <t>H</t>
  </si>
  <si>
    <t>SPU-TZL-ZRH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</si>
</sst>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4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C00000"/>
      <name val="Calibri"/>
      <family val="2"/>
      <charset val="238"/>
      <scheme val="minor"/>
    </font>
    <font>
      <sz val="11"/>
      <color theme="1"/>
      <name val="times new roman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 CE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mbria"/>
      <family val="1"/>
      <charset val="238"/>
      <scheme val="major"/>
    </font>
    <font>
      <b/>
      <sz val="16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1"/>
      <color theme="1"/>
      <name val="Times New Roman"/>
      <family val="1"/>
    </font>
    <font>
      <sz val="10"/>
      <color theme="1"/>
      <name val="Garamond"/>
      <family val="1"/>
      <charset val="238"/>
    </font>
    <font>
      <sz val="10"/>
      <color theme="1"/>
      <name val="Garamond"/>
      <family val="1"/>
    </font>
    <font>
      <sz val="10"/>
      <name val="Garamond"/>
      <family val="1"/>
      <charset val="238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Garamond"/>
      <family val="1"/>
      <charset val="238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6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/>
    <xf numFmtId="164" fontId="8" fillId="0" borderId="0" applyFont="0" applyFill="0" applyBorder="0" applyAlignment="0" applyProtection="0"/>
    <xf numFmtId="0" fontId="9" fillId="0" borderId="0"/>
    <xf numFmtId="0" fontId="10" fillId="0" borderId="0"/>
    <xf numFmtId="0" fontId="11" fillId="0" borderId="0"/>
  </cellStyleXfs>
  <cellXfs count="311">
    <xf numFmtId="0" fontId="0" fillId="0" borderId="0" xfId="0"/>
    <xf numFmtId="0" fontId="0" fillId="3" borderId="0" xfId="0" applyFill="1" applyProtection="1">
      <protection locked="0"/>
    </xf>
    <xf numFmtId="0" fontId="2" fillId="3" borderId="0" xfId="0" applyFont="1" applyFill="1" applyBorder="1" applyAlignment="1" applyProtection="1">
      <protection locked="0"/>
    </xf>
    <xf numFmtId="0" fontId="0" fillId="3" borderId="0" xfId="0" applyFill="1" applyBorder="1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3" borderId="0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Border="1" applyProtection="1">
      <protection locked="0"/>
    </xf>
    <xf numFmtId="0" fontId="0" fillId="3" borderId="0" xfId="0" applyFill="1" applyBorder="1" applyAlignment="1" applyProtection="1">
      <alignment horizontal="center"/>
    </xf>
    <xf numFmtId="0" fontId="0" fillId="0" borderId="15" xfId="0" applyFill="1" applyBorder="1" applyAlignment="1" applyProtection="1">
      <alignment horizontal="center"/>
      <protection locked="0"/>
    </xf>
    <xf numFmtId="0" fontId="0" fillId="0" borderId="16" xfId="0" applyFill="1" applyBorder="1" applyAlignment="1" applyProtection="1">
      <alignment horizontal="center"/>
      <protection locked="0"/>
    </xf>
    <xf numFmtId="0" fontId="0" fillId="0" borderId="3" xfId="0" applyFill="1" applyBorder="1" applyAlignment="1">
      <alignment horizontal="center"/>
    </xf>
    <xf numFmtId="0" fontId="0" fillId="0" borderId="15" xfId="0" applyFont="1" applyFill="1" applyBorder="1" applyAlignment="1" applyProtection="1">
      <alignment horizontal="center"/>
      <protection locked="0"/>
    </xf>
    <xf numFmtId="0" fontId="0" fillId="0" borderId="16" xfId="0" applyFont="1" applyFill="1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/>
    </xf>
    <xf numFmtId="0" fontId="1" fillId="0" borderId="0" xfId="0" applyFont="1" applyProtection="1">
      <protection locked="0"/>
    </xf>
    <xf numFmtId="0" fontId="1" fillId="0" borderId="0" xfId="0" applyFont="1" applyFill="1" applyBorder="1" applyAlignment="1" applyProtection="1">
      <alignment horizontal="center"/>
      <protection locked="0"/>
    </xf>
    <xf numFmtId="0" fontId="0" fillId="0" borderId="3" xfId="0" applyFont="1" applyFill="1" applyBorder="1" applyAlignment="1" applyProtection="1">
      <alignment horizontal="center"/>
      <protection locked="0"/>
    </xf>
    <xf numFmtId="0" fontId="0" fillId="0" borderId="3" xfId="0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2" xfId="0" applyFont="1" applyFill="1" applyBorder="1" applyAlignment="1" applyProtection="1">
      <alignment horizontal="center"/>
      <protection locked="0"/>
    </xf>
    <xf numFmtId="0" fontId="0" fillId="0" borderId="2" xfId="0" applyNumberFormat="1" applyFont="1" applyFill="1" applyBorder="1" applyAlignment="1" applyProtection="1">
      <alignment horizontal="center"/>
      <protection locked="0"/>
    </xf>
    <xf numFmtId="0" fontId="0" fillId="0" borderId="3" xfId="0" applyFill="1" applyBorder="1" applyAlignment="1" applyProtection="1">
      <alignment horizontal="center"/>
      <protection locked="0"/>
    </xf>
    <xf numFmtId="3" fontId="0" fillId="0" borderId="3" xfId="0" applyNumberFormat="1" applyFill="1" applyBorder="1" applyAlignment="1" applyProtection="1">
      <alignment horizontal="center" vertical="center"/>
      <protection locked="0"/>
    </xf>
    <xf numFmtId="0" fontId="0" fillId="0" borderId="3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12" fillId="0" borderId="0" xfId="0" applyFont="1" applyFill="1" applyProtection="1">
      <protection locked="0"/>
    </xf>
    <xf numFmtId="0" fontId="4" fillId="0" borderId="15" xfId="0" applyFont="1" applyFill="1" applyBorder="1" applyAlignment="1" applyProtection="1">
      <alignment horizontal="center"/>
      <protection locked="0"/>
    </xf>
    <xf numFmtId="0" fontId="4" fillId="0" borderId="16" xfId="0" applyFont="1" applyFill="1" applyBorder="1" applyAlignment="1" applyProtection="1">
      <alignment horizontal="center"/>
      <protection locked="0"/>
    </xf>
    <xf numFmtId="0" fontId="0" fillId="0" borderId="19" xfId="0" applyFont="1" applyFill="1" applyBorder="1" applyAlignment="1" applyProtection="1">
      <alignment horizontal="center"/>
      <protection locked="0"/>
    </xf>
    <xf numFmtId="0" fontId="0" fillId="0" borderId="18" xfId="0" applyFont="1" applyFill="1" applyBorder="1" applyAlignment="1" applyProtection="1">
      <alignment horizontal="center"/>
      <protection locked="0"/>
    </xf>
    <xf numFmtId="0" fontId="0" fillId="3" borderId="0" xfId="0" applyFill="1" applyBorder="1" applyAlignment="1" applyProtection="1">
      <alignment horizontal="center" vertical="center"/>
      <protection locked="0"/>
    </xf>
    <xf numFmtId="0" fontId="1" fillId="0" borderId="0" xfId="0" applyNumberFormat="1" applyFont="1" applyBorder="1" applyAlignment="1" applyProtection="1">
      <alignment horizontal="center"/>
      <protection locked="0"/>
    </xf>
    <xf numFmtId="0" fontId="0" fillId="0" borderId="9" xfId="0" applyFill="1" applyBorder="1" applyAlignment="1" applyProtection="1">
      <alignment horizontal="center"/>
      <protection locked="0"/>
    </xf>
    <xf numFmtId="0" fontId="0" fillId="0" borderId="13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4" xfId="0" applyFill="1" applyBorder="1" applyAlignment="1" applyProtection="1">
      <alignment horizontal="center" vertical="center"/>
      <protection locked="0"/>
    </xf>
    <xf numFmtId="0" fontId="14" fillId="0" borderId="0" xfId="6" applyFont="1"/>
    <xf numFmtId="0" fontId="15" fillId="0" borderId="0" xfId="6" applyFont="1" applyAlignment="1">
      <alignment horizontal="center" vertical="center"/>
    </xf>
    <xf numFmtId="0" fontId="14" fillId="0" borderId="17" xfId="6" applyFont="1" applyBorder="1" applyAlignment="1">
      <alignment horizontal="center" vertical="center"/>
    </xf>
    <xf numFmtId="0" fontId="14" fillId="0" borderId="0" xfId="6" applyFont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0" fillId="0" borderId="2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protection locked="0"/>
    </xf>
    <xf numFmtId="0" fontId="0" fillId="0" borderId="13" xfId="0" applyFont="1" applyFill="1" applyBorder="1" applyAlignment="1" applyProtection="1">
      <alignment horizontal="center"/>
      <protection locked="0"/>
    </xf>
    <xf numFmtId="0" fontId="0" fillId="0" borderId="23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17" fillId="0" borderId="17" xfId="0" applyFont="1" applyBorder="1" applyAlignment="1">
      <alignment horizontal="center" vertical="center"/>
    </xf>
    <xf numFmtId="3" fontId="0" fillId="0" borderId="17" xfId="0" applyNumberFormat="1" applyFont="1" applyFill="1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5" xfId="0" applyFill="1" applyBorder="1" applyAlignment="1" applyProtection="1">
      <alignment horizontal="center" vertical="center"/>
      <protection locked="0"/>
    </xf>
    <xf numFmtId="0" fontId="0" fillId="0" borderId="17" xfId="0" applyFill="1" applyBorder="1" applyAlignment="1" applyProtection="1">
      <alignment horizontal="center" vertical="center"/>
      <protection locked="0"/>
    </xf>
    <xf numFmtId="0" fontId="0" fillId="3" borderId="16" xfId="0" applyFill="1" applyBorder="1" applyAlignment="1" applyProtection="1">
      <alignment horizontal="center"/>
      <protection locked="0"/>
    </xf>
    <xf numFmtId="0" fontId="0" fillId="0" borderId="17" xfId="0" applyNumberFormat="1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 vertical="center"/>
      <protection locked="0"/>
    </xf>
    <xf numFmtId="3" fontId="0" fillId="0" borderId="17" xfId="0" applyNumberFormat="1" applyFill="1" applyBorder="1" applyAlignment="1" applyProtection="1">
      <alignment horizontal="center" vertical="center"/>
      <protection locked="0"/>
    </xf>
    <xf numFmtId="0" fontId="0" fillId="0" borderId="16" xfId="0" applyFill="1" applyBorder="1" applyAlignment="1" applyProtection="1">
      <alignment horizontal="center" vertical="center" wrapText="1"/>
      <protection locked="0"/>
    </xf>
    <xf numFmtId="0" fontId="0" fillId="3" borderId="15" xfId="0" applyFont="1" applyFill="1" applyBorder="1" applyAlignment="1" applyProtection="1">
      <alignment horizontal="center"/>
      <protection locked="0"/>
    </xf>
    <xf numFmtId="3" fontId="0" fillId="3" borderId="17" xfId="0" applyNumberFormat="1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</xf>
    <xf numFmtId="0" fontId="0" fillId="3" borderId="17" xfId="0" applyFont="1" applyFill="1" applyBorder="1" applyAlignment="1" applyProtection="1">
      <alignment horizontal="center"/>
      <protection locked="0"/>
    </xf>
    <xf numFmtId="0" fontId="3" fillId="3" borderId="0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locked="0"/>
    </xf>
    <xf numFmtId="0" fontId="0" fillId="0" borderId="13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3" xfId="0" applyFont="1" applyFill="1" applyBorder="1" applyAlignment="1" applyProtection="1">
      <alignment horizontal="center" vertical="center"/>
    </xf>
    <xf numFmtId="0" fontId="0" fillId="0" borderId="3" xfId="0" applyFont="1" applyFill="1" applyBorder="1" applyAlignment="1" applyProtection="1">
      <alignment horizontal="center" vertical="center"/>
      <protection locked="0"/>
    </xf>
    <xf numFmtId="0" fontId="0" fillId="0" borderId="4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1" fillId="0" borderId="12" xfId="0" applyFont="1" applyFill="1" applyBorder="1" applyAlignment="1" applyProtection="1">
      <alignment horizontal="center" vertical="center"/>
      <protection locked="0"/>
    </xf>
    <xf numFmtId="0" fontId="1" fillId="0" borderId="13" xfId="0" applyFont="1" applyFill="1" applyBorder="1" applyAlignment="1" applyProtection="1">
      <alignment horizontal="center" vertical="center"/>
      <protection locked="0"/>
    </xf>
    <xf numFmtId="3" fontId="0" fillId="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2" xfId="0" applyFont="1" applyFill="1" applyBorder="1" applyAlignment="1" applyProtection="1">
      <alignment horizontal="center"/>
      <protection locked="0"/>
    </xf>
    <xf numFmtId="0" fontId="0" fillId="0" borderId="25" xfId="0" applyFont="1" applyFill="1" applyBorder="1" applyAlignment="1" applyProtection="1">
      <alignment horizontal="center"/>
      <protection locked="0"/>
    </xf>
    <xf numFmtId="0" fontId="0" fillId="0" borderId="26" xfId="0" applyFont="1" applyFill="1" applyBorder="1" applyAlignment="1" applyProtection="1">
      <alignment horizontal="center"/>
      <protection locked="0"/>
    </xf>
    <xf numFmtId="49" fontId="14" fillId="0" borderId="17" xfId="6" applyNumberFormat="1" applyFont="1" applyBorder="1" applyAlignment="1">
      <alignment horizontal="center" vertical="center"/>
    </xf>
    <xf numFmtId="0" fontId="0" fillId="0" borderId="13" xfId="0" applyFont="1" applyFill="1" applyBorder="1" applyAlignment="1" applyProtection="1">
      <alignment horizontal="center"/>
      <protection locked="0"/>
    </xf>
    <xf numFmtId="0" fontId="18" fillId="0" borderId="0" xfId="0" applyFont="1" applyAlignment="1">
      <alignment horizontal="center"/>
    </xf>
    <xf numFmtId="0" fontId="19" fillId="4" borderId="0" xfId="0" applyFont="1" applyFill="1" applyBorder="1" applyAlignment="1">
      <alignment horizontal="center" vertical="center"/>
    </xf>
    <xf numFmtId="0" fontId="0" fillId="0" borderId="17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</xf>
    <xf numFmtId="0" fontId="0" fillId="0" borderId="11" xfId="0" applyBorder="1" applyAlignment="1" applyProtection="1">
      <alignment horizontal="center"/>
    </xf>
    <xf numFmtId="16" fontId="0" fillId="2" borderId="14" xfId="0" applyNumberFormat="1" applyFill="1" applyBorder="1" applyAlignment="1" applyProtection="1">
      <alignment horizontal="center"/>
      <protection locked="0"/>
    </xf>
    <xf numFmtId="0" fontId="0" fillId="0" borderId="24" xfId="0" applyFont="1" applyFill="1" applyBorder="1" applyAlignment="1" applyProtection="1">
      <alignment horizontal="center"/>
      <protection locked="0"/>
    </xf>
    <xf numFmtId="0" fontId="0" fillId="0" borderId="30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0" fillId="0" borderId="31" xfId="0" applyFont="1" applyFill="1" applyBorder="1" applyAlignment="1" applyProtection="1">
      <alignment horizontal="center"/>
      <protection locked="0"/>
    </xf>
    <xf numFmtId="0" fontId="1" fillId="0" borderId="17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3" borderId="17" xfId="0" applyFill="1" applyBorder="1" applyAlignment="1" applyProtection="1">
      <alignment horizontal="center"/>
      <protection locked="0"/>
    </xf>
    <xf numFmtId="0" fontId="0" fillId="0" borderId="14" xfId="0" applyFont="1" applyFill="1" applyBorder="1" applyAlignment="1" applyProtection="1">
      <alignment horizontal="center" vertical="center"/>
      <protection locked="0"/>
    </xf>
    <xf numFmtId="0" fontId="0" fillId="3" borderId="27" xfId="0" applyFill="1" applyBorder="1" applyAlignment="1" applyProtection="1">
      <alignment horizontal="center"/>
      <protection locked="0"/>
    </xf>
    <xf numFmtId="0" fontId="18" fillId="0" borderId="0" xfId="0" applyFont="1" applyAlignment="1">
      <alignment horizontal="center" vertical="center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14" xfId="0" applyFont="1" applyFill="1" applyBorder="1" applyAlignment="1" applyProtection="1">
      <alignment horizontal="center"/>
    </xf>
    <xf numFmtId="0" fontId="0" fillId="0" borderId="13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</xf>
    <xf numFmtId="0" fontId="0" fillId="0" borderId="17" xfId="0" applyFill="1" applyBorder="1" applyAlignment="1" applyProtection="1">
      <alignment horizontal="center"/>
      <protection locked="0"/>
    </xf>
    <xf numFmtId="0" fontId="0" fillId="0" borderId="13" xfId="0" applyFont="1" applyFill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</xf>
    <xf numFmtId="0" fontId="0" fillId="0" borderId="17" xfId="0" applyBorder="1" applyProtection="1"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17" xfId="0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vertic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31" xfId="0" applyBorder="1" applyProtection="1">
      <protection locked="0"/>
    </xf>
    <xf numFmtId="16" fontId="0" fillId="2" borderId="32" xfId="0" applyNumberFormat="1" applyFill="1" applyBorder="1" applyAlignment="1" applyProtection="1">
      <alignment horizontal="center"/>
      <protection locked="0"/>
    </xf>
    <xf numFmtId="0" fontId="0" fillId="0" borderId="17" xfId="0" applyFill="1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34" xfId="0" applyFont="1" applyFill="1" applyBorder="1" applyAlignment="1" applyProtection="1">
      <alignment horizontal="center"/>
      <protection locked="0"/>
    </xf>
    <xf numFmtId="0" fontId="0" fillId="3" borderId="35" xfId="0" applyFill="1" applyBorder="1" applyAlignment="1" applyProtection="1">
      <alignment horizontal="center"/>
      <protection locked="0"/>
    </xf>
    <xf numFmtId="0" fontId="0" fillId="0" borderId="17" xfId="0" applyFill="1" applyBorder="1" applyAlignment="1" applyProtection="1">
      <alignment horizontal="center" vertical="center" wrapText="1"/>
      <protection locked="0"/>
    </xf>
    <xf numFmtId="49" fontId="14" fillId="0" borderId="0" xfId="6" applyNumberFormat="1" applyFont="1" applyBorder="1" applyAlignment="1">
      <alignment horizontal="center" vertical="center"/>
    </xf>
    <xf numFmtId="0" fontId="0" fillId="0" borderId="13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15" fillId="0" borderId="0" xfId="6" applyFont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4" fillId="0" borderId="17" xfId="6" applyFont="1" applyBorder="1" applyAlignment="1">
      <alignment horizontal="center" vertical="center"/>
    </xf>
    <xf numFmtId="0" fontId="14" fillId="0" borderId="0" xfId="6" applyFont="1" applyBorder="1"/>
    <xf numFmtId="0" fontId="16" fillId="0" borderId="0" xfId="6" applyFont="1" applyBorder="1" applyAlignment="1">
      <alignment horizontal="center" vertical="center"/>
    </xf>
    <xf numFmtId="0" fontId="14" fillId="0" borderId="21" xfId="6" applyFont="1" applyBorder="1" applyAlignment="1">
      <alignment horizontal="center" vertical="center"/>
    </xf>
    <xf numFmtId="0" fontId="3" fillId="3" borderId="0" xfId="0" applyFont="1" applyFill="1" applyBorder="1" applyAlignment="1" applyProtection="1">
      <alignment horizontal="center"/>
      <protection locked="0"/>
    </xf>
    <xf numFmtId="0" fontId="15" fillId="0" borderId="0" xfId="6" applyFont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4" fillId="0" borderId="17" xfId="6" applyFont="1" applyBorder="1" applyAlignment="1">
      <alignment horizontal="center" vertical="center"/>
    </xf>
    <xf numFmtId="0" fontId="14" fillId="0" borderId="0" xfId="6" applyFont="1" applyBorder="1" applyAlignment="1">
      <alignment horizontal="center" vertical="center"/>
    </xf>
    <xf numFmtId="16" fontId="0" fillId="2" borderId="17" xfId="0" applyNumberFormat="1" applyFill="1" applyBorder="1" applyAlignment="1" applyProtection="1">
      <alignment horizontal="center"/>
      <protection locked="0"/>
    </xf>
    <xf numFmtId="16" fontId="0" fillId="2" borderId="17" xfId="0" applyNumberFormat="1" applyFill="1" applyBorder="1" applyAlignment="1" applyProtection="1">
      <alignment horizontal="center"/>
    </xf>
    <xf numFmtId="0" fontId="20" fillId="3" borderId="1" xfId="0" applyFont="1" applyFill="1" applyBorder="1" applyAlignment="1" applyProtection="1">
      <alignment horizontal="center" vertical="center"/>
    </xf>
    <xf numFmtId="0" fontId="20" fillId="3" borderId="6" xfId="0" applyFont="1" applyFill="1" applyBorder="1" applyAlignment="1" applyProtection="1">
      <alignment horizontal="center" vertical="center"/>
    </xf>
    <xf numFmtId="0" fontId="20" fillId="3" borderId="5" xfId="0" applyFont="1" applyFill="1" applyBorder="1" applyAlignment="1" applyProtection="1">
      <alignment horizontal="center" vertical="center"/>
    </xf>
    <xf numFmtId="0" fontId="20" fillId="3" borderId="0" xfId="0" applyFont="1" applyFill="1" applyBorder="1" applyAlignment="1" applyProtection="1">
      <alignment horizontal="center" vertical="center"/>
    </xf>
    <xf numFmtId="0" fontId="20" fillId="3" borderId="0" xfId="0" applyFont="1" applyFill="1" applyAlignment="1" applyProtection="1">
      <alignment vertical="center"/>
      <protection locked="0"/>
    </xf>
    <xf numFmtId="0" fontId="0" fillId="0" borderId="24" xfId="0" applyFont="1" applyFill="1" applyBorder="1" applyAlignment="1" applyProtection="1">
      <alignment horizontal="center"/>
      <protection locked="0"/>
    </xf>
    <xf numFmtId="0" fontId="0" fillId="0" borderId="12" xfId="0" applyFill="1" applyBorder="1" applyAlignment="1" applyProtection="1">
      <alignment horizontal="center"/>
      <protection locked="0"/>
    </xf>
    <xf numFmtId="0" fontId="4" fillId="0" borderId="24" xfId="0" applyFont="1" applyFill="1" applyBorder="1" applyAlignment="1" applyProtection="1">
      <alignment horizontal="center"/>
      <protection locked="0"/>
    </xf>
    <xf numFmtId="0" fontId="0" fillId="0" borderId="0" xfId="0" applyFill="1" applyBorder="1" applyProtection="1">
      <protection locked="0"/>
    </xf>
    <xf numFmtId="0" fontId="0" fillId="0" borderId="0" xfId="0" applyFill="1" applyBorder="1" applyAlignment="1" applyProtection="1">
      <protection locked="0"/>
    </xf>
    <xf numFmtId="0" fontId="0" fillId="0" borderId="24" xfId="0" applyFont="1" applyFill="1" applyBorder="1" applyAlignment="1" applyProtection="1">
      <alignment horizontal="center"/>
      <protection locked="0"/>
    </xf>
    <xf numFmtId="0" fontId="0" fillId="0" borderId="24" xfId="0" applyFont="1" applyFill="1" applyBorder="1" applyAlignment="1" applyProtection="1">
      <alignment horizontal="center"/>
      <protection locked="0"/>
    </xf>
    <xf numFmtId="0" fontId="23" fillId="0" borderId="17" xfId="0" applyFont="1" applyBorder="1" applyAlignment="1">
      <alignment horizontal="center" vertical="center"/>
    </xf>
    <xf numFmtId="0" fontId="0" fillId="0" borderId="24" xfId="0" applyFont="1" applyFill="1" applyBorder="1" applyAlignment="1" applyProtection="1">
      <alignment horizontal="center"/>
      <protection locked="0"/>
    </xf>
    <xf numFmtId="0" fontId="0" fillId="3" borderId="16" xfId="0" applyFont="1" applyFill="1" applyBorder="1" applyAlignment="1" applyProtection="1">
      <alignment horizontal="center"/>
      <protection locked="0"/>
    </xf>
    <xf numFmtId="0" fontId="0" fillId="3" borderId="24" xfId="0" applyFont="1" applyFill="1" applyBorder="1" applyAlignment="1" applyProtection="1">
      <alignment horizontal="center"/>
      <protection locked="0"/>
    </xf>
    <xf numFmtId="0" fontId="0" fillId="0" borderId="14" xfId="0" applyFill="1" applyBorder="1" applyAlignment="1" applyProtection="1">
      <alignment horizontal="center"/>
      <protection locked="0"/>
    </xf>
    <xf numFmtId="0" fontId="0" fillId="0" borderId="24" xfId="0" applyFill="1" applyBorder="1" applyAlignment="1" applyProtection="1">
      <alignment horizontal="center"/>
      <protection locked="0"/>
    </xf>
    <xf numFmtId="0" fontId="0" fillId="0" borderId="17" xfId="0" applyFill="1" applyBorder="1" applyAlignment="1" applyProtection="1">
      <alignment horizontal="center"/>
      <protection locked="0"/>
    </xf>
    <xf numFmtId="0" fontId="0" fillId="3" borderId="29" xfId="0" applyFont="1" applyFill="1" applyBorder="1" applyAlignment="1" applyProtection="1">
      <alignment horizontal="center"/>
      <protection locked="0"/>
    </xf>
    <xf numFmtId="0" fontId="0" fillId="3" borderId="26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4" fillId="3" borderId="15" xfId="0" applyFont="1" applyFill="1" applyBorder="1" applyAlignment="1" applyProtection="1">
      <alignment horizontal="center"/>
      <protection locked="0"/>
    </xf>
    <xf numFmtId="0" fontId="4" fillId="3" borderId="16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24" xfId="0" applyFont="1" applyFill="1" applyBorder="1" applyAlignment="1" applyProtection="1">
      <alignment horizontal="center"/>
      <protection locked="0"/>
    </xf>
    <xf numFmtId="0" fontId="0" fillId="0" borderId="24" xfId="0" applyFont="1" applyFill="1" applyBorder="1" applyAlignment="1" applyProtection="1">
      <alignment horizontal="center"/>
      <protection locked="0"/>
    </xf>
    <xf numFmtId="0" fontId="15" fillId="0" borderId="0" xfId="6" applyFont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4" fillId="0" borderId="17" xfId="6" applyFont="1" applyBorder="1" applyAlignment="1">
      <alignment horizontal="center" vertical="center"/>
    </xf>
    <xf numFmtId="0" fontId="14" fillId="0" borderId="0" xfId="6" applyFont="1" applyBorder="1" applyAlignment="1">
      <alignment horizontal="center" vertical="center"/>
    </xf>
    <xf numFmtId="0" fontId="14" fillId="0" borderId="17" xfId="6" applyFont="1" applyBorder="1" applyAlignment="1">
      <alignment horizontal="center" vertical="center"/>
    </xf>
    <xf numFmtId="0" fontId="3" fillId="3" borderId="0" xfId="0" applyFont="1" applyFill="1" applyBorder="1" applyAlignment="1" applyProtection="1">
      <alignment horizontal="center"/>
      <protection locked="0"/>
    </xf>
    <xf numFmtId="0" fontId="0" fillId="0" borderId="17" xfId="0" applyFill="1" applyBorder="1" applyAlignment="1" applyProtection="1">
      <alignment horizontal="center" vertical="center"/>
    </xf>
    <xf numFmtId="0" fontId="20" fillId="3" borderId="0" xfId="0" applyFont="1" applyFill="1" applyProtection="1">
      <protection locked="0"/>
    </xf>
    <xf numFmtId="0" fontId="20" fillId="3" borderId="0" xfId="0" applyFont="1" applyFill="1" applyAlignment="1" applyProtection="1">
      <alignment horizontal="center" vertical="center"/>
    </xf>
    <xf numFmtId="0" fontId="0" fillId="3" borderId="37" xfId="0" applyFont="1" applyFill="1" applyBorder="1" applyAlignment="1" applyProtection="1">
      <alignment horizontal="center"/>
      <protection locked="0"/>
    </xf>
    <xf numFmtId="0" fontId="0" fillId="0" borderId="24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24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13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24" xfId="0" applyFont="1" applyFill="1" applyBorder="1" applyAlignment="1" applyProtection="1">
      <alignment horizontal="center"/>
      <protection locked="0"/>
    </xf>
    <xf numFmtId="0" fontId="0" fillId="0" borderId="24" xfId="0" applyFont="1" applyFill="1" applyBorder="1" applyAlignment="1" applyProtection="1">
      <alignment horizontal="center"/>
      <protection locked="0"/>
    </xf>
    <xf numFmtId="0" fontId="20" fillId="3" borderId="5" xfId="0" applyFont="1" applyFill="1" applyBorder="1" applyAlignment="1" applyProtection="1">
      <alignment horizontal="center" vertical="center"/>
    </xf>
    <xf numFmtId="0" fontId="0" fillId="0" borderId="24" xfId="0" applyFont="1" applyFill="1" applyBorder="1" applyAlignment="1" applyProtection="1">
      <alignment horizontal="center"/>
      <protection locked="0"/>
    </xf>
    <xf numFmtId="0" fontId="0" fillId="0" borderId="13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13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14" fillId="0" borderId="17" xfId="6" applyFont="1" applyBorder="1" applyAlignment="1">
      <alignment horizontal="center" vertical="center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17" xfId="0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3" fillId="7" borderId="5" xfId="0" applyFont="1" applyFill="1" applyBorder="1" applyAlignment="1" applyProtection="1">
      <alignment horizontal="center" vertical="center"/>
      <protection locked="0"/>
    </xf>
    <xf numFmtId="0" fontId="3" fillId="7" borderId="6" xfId="0" applyFont="1" applyFill="1" applyBorder="1" applyAlignment="1" applyProtection="1">
      <alignment horizontal="center" vertical="center"/>
      <protection locked="0"/>
    </xf>
    <xf numFmtId="0" fontId="3" fillId="7" borderId="7" xfId="0" applyFont="1" applyFill="1" applyBorder="1" applyAlignment="1" applyProtection="1">
      <alignment horizontal="center" vertical="center"/>
      <protection locked="0"/>
    </xf>
    <xf numFmtId="0" fontId="3" fillId="5" borderId="5" xfId="0" applyFont="1" applyFill="1" applyBorder="1" applyAlignment="1" applyProtection="1">
      <alignment horizontal="center" vertical="center"/>
      <protection locked="0"/>
    </xf>
    <xf numFmtId="0" fontId="3" fillId="5" borderId="6" xfId="0" applyFont="1" applyFill="1" applyBorder="1" applyAlignment="1" applyProtection="1">
      <alignment horizontal="center" vertical="center"/>
      <protection locked="0"/>
    </xf>
    <xf numFmtId="0" fontId="3" fillId="5" borderId="7" xfId="0" applyFont="1" applyFill="1" applyBorder="1" applyAlignment="1" applyProtection="1">
      <alignment horizontal="center" vertical="center"/>
      <protection locked="0"/>
    </xf>
    <xf numFmtId="0" fontId="3" fillId="6" borderId="5" xfId="0" applyFont="1" applyFill="1" applyBorder="1" applyAlignment="1" applyProtection="1">
      <alignment horizontal="center" vertical="center"/>
      <protection locked="0"/>
    </xf>
    <xf numFmtId="0" fontId="3" fillId="6" borderId="6" xfId="0" applyFont="1" applyFill="1" applyBorder="1" applyAlignment="1" applyProtection="1">
      <alignment horizontal="center" vertical="center"/>
      <protection locked="0"/>
    </xf>
    <xf numFmtId="0" fontId="3" fillId="6" borderId="7" xfId="0" applyFont="1" applyFill="1" applyBorder="1" applyAlignment="1" applyProtection="1">
      <alignment horizontal="center" vertical="center"/>
      <protection locked="0"/>
    </xf>
    <xf numFmtId="0" fontId="2" fillId="3" borderId="2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3" fillId="6" borderId="5" xfId="0" applyFont="1" applyFill="1" applyBorder="1" applyAlignment="1" applyProtection="1">
      <alignment horizontal="center" vertical="center" wrapText="1"/>
      <protection locked="0"/>
    </xf>
    <xf numFmtId="0" fontId="3" fillId="6" borderId="6" xfId="0" applyFont="1" applyFill="1" applyBorder="1" applyAlignment="1" applyProtection="1">
      <alignment horizontal="center" vertical="center" wrapText="1"/>
      <protection locked="0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5" borderId="5" xfId="0" applyFont="1" applyFill="1" applyBorder="1" applyAlignment="1" applyProtection="1">
      <alignment horizontal="center" wrapText="1"/>
      <protection locked="0"/>
    </xf>
    <xf numFmtId="0" fontId="3" fillId="5" borderId="6" xfId="0" applyFont="1" applyFill="1" applyBorder="1" applyAlignment="1" applyProtection="1">
      <alignment horizontal="center" wrapText="1"/>
      <protection locked="0"/>
    </xf>
    <xf numFmtId="0" fontId="3" fillId="5" borderId="7" xfId="0" applyFont="1" applyFill="1" applyBorder="1" applyAlignment="1" applyProtection="1">
      <alignment horizontal="center" wrapText="1"/>
      <protection locked="0"/>
    </xf>
    <xf numFmtId="0" fontId="20" fillId="3" borderId="5" xfId="0" applyFont="1" applyFill="1" applyBorder="1" applyAlignment="1" applyProtection="1">
      <alignment horizontal="center" vertical="center"/>
    </xf>
    <xf numFmtId="0" fontId="20" fillId="3" borderId="7" xfId="0" applyFont="1" applyFill="1" applyBorder="1" applyAlignment="1" applyProtection="1">
      <alignment horizontal="center" vertical="center"/>
    </xf>
    <xf numFmtId="0" fontId="3" fillId="3" borderId="0" xfId="0" applyFont="1" applyFill="1" applyBorder="1" applyAlignment="1" applyProtection="1">
      <alignment horizontal="center"/>
      <protection locked="0"/>
    </xf>
    <xf numFmtId="0" fontId="3" fillId="8" borderId="5" xfId="0" applyFont="1" applyFill="1" applyBorder="1" applyAlignment="1" applyProtection="1">
      <alignment horizontal="center" vertical="center" wrapText="1"/>
      <protection locked="0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 applyProtection="1">
      <alignment horizontal="center" vertical="center"/>
      <protection locked="0"/>
    </xf>
    <xf numFmtId="0" fontId="3" fillId="8" borderId="6" xfId="0" applyFont="1" applyFill="1" applyBorder="1" applyAlignment="1" applyProtection="1">
      <alignment horizontal="center" vertical="center"/>
      <protection locked="0"/>
    </xf>
    <xf numFmtId="0" fontId="3" fillId="8" borderId="7" xfId="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14" xfId="0" applyFont="1" applyFill="1" applyBorder="1" applyAlignment="1" applyProtection="1">
      <alignment horizontal="center"/>
    </xf>
    <xf numFmtId="0" fontId="0" fillId="0" borderId="24" xfId="0" applyFont="1" applyFill="1" applyBorder="1" applyAlignment="1" applyProtection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center"/>
    </xf>
    <xf numFmtId="0" fontId="0" fillId="0" borderId="14" xfId="0" applyFont="1" applyFill="1" applyBorder="1" applyAlignment="1" applyProtection="1">
      <alignment horizontal="center"/>
      <protection locked="0"/>
    </xf>
    <xf numFmtId="0" fontId="0" fillId="0" borderId="24" xfId="0" applyFont="1" applyFill="1" applyBorder="1" applyAlignment="1" applyProtection="1">
      <alignment horizontal="center"/>
      <protection locked="0"/>
    </xf>
    <xf numFmtId="0" fontId="0" fillId="0" borderId="14" xfId="0" applyFill="1" applyBorder="1" applyAlignment="1" applyProtection="1">
      <alignment horizontal="center"/>
      <protection locked="0"/>
    </xf>
    <xf numFmtId="0" fontId="0" fillId="0" borderId="24" xfId="0" applyFill="1" applyBorder="1" applyAlignment="1" applyProtection="1">
      <alignment horizontal="center"/>
      <protection locked="0"/>
    </xf>
    <xf numFmtId="0" fontId="0" fillId="0" borderId="2" xfId="0" applyFont="1" applyBorder="1" applyAlignment="1" applyProtection="1">
      <alignment horizontal="center" vertical="center"/>
      <protection locked="0"/>
    </xf>
    <xf numFmtId="0" fontId="0" fillId="0" borderId="3" xfId="0" applyFont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17" xfId="0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7" xfId="0" applyFont="1" applyFill="1" applyBorder="1" applyAlignment="1" applyProtection="1">
      <alignment horizontal="center"/>
      <protection locked="0"/>
    </xf>
    <xf numFmtId="0" fontId="0" fillId="0" borderId="17" xfId="0" applyFont="1" applyFill="1" applyBorder="1" applyAlignment="1">
      <alignment horizontal="center"/>
    </xf>
    <xf numFmtId="0" fontId="0" fillId="0" borderId="32" xfId="0" applyFont="1" applyFill="1" applyBorder="1" applyAlignment="1" applyProtection="1">
      <alignment horizontal="center"/>
    </xf>
    <xf numFmtId="0" fontId="0" fillId="0" borderId="29" xfId="0" applyFont="1" applyFill="1" applyBorder="1" applyAlignment="1" applyProtection="1">
      <alignment horizontal="center"/>
    </xf>
    <xf numFmtId="0" fontId="0" fillId="0" borderId="14" xfId="0" applyFill="1" applyBorder="1" applyAlignment="1" applyProtection="1">
      <alignment horizontal="center" vertical="center" wrapText="1"/>
      <protection locked="0"/>
    </xf>
    <xf numFmtId="0" fontId="0" fillId="0" borderId="24" xfId="0" applyFill="1" applyBorder="1" applyAlignment="1" applyProtection="1">
      <alignment horizontal="center" vertical="center" wrapText="1"/>
      <protection locked="0"/>
    </xf>
    <xf numFmtId="0" fontId="0" fillId="0" borderId="10" xfId="0" applyFont="1" applyFill="1" applyBorder="1" applyAlignment="1" applyProtection="1">
      <alignment horizontal="center"/>
      <protection locked="0"/>
    </xf>
    <xf numFmtId="0" fontId="0" fillId="0" borderId="11" xfId="0" applyFont="1" applyFill="1" applyBorder="1" applyAlignment="1" applyProtection="1">
      <alignment horizontal="center"/>
      <protection locked="0"/>
    </xf>
    <xf numFmtId="0" fontId="0" fillId="0" borderId="12" xfId="0" applyFont="1" applyFill="1" applyBorder="1" applyAlignment="1" applyProtection="1">
      <alignment horizontal="center"/>
      <protection locked="0"/>
    </xf>
    <xf numFmtId="0" fontId="0" fillId="0" borderId="13" xfId="0" applyFont="1" applyFill="1" applyBorder="1" applyAlignment="1" applyProtection="1">
      <alignment horizontal="center"/>
      <protection locked="0"/>
    </xf>
    <xf numFmtId="0" fontId="0" fillId="0" borderId="12" xfId="0" applyFont="1" applyBorder="1" applyAlignment="1" applyProtection="1">
      <alignment horizontal="center"/>
      <protection locked="0"/>
    </xf>
    <xf numFmtId="0" fontId="0" fillId="0" borderId="13" xfId="0" applyFont="1" applyBorder="1" applyAlignment="1" applyProtection="1">
      <alignment horizontal="center"/>
      <protection locked="0"/>
    </xf>
    <xf numFmtId="0" fontId="0" fillId="0" borderId="12" xfId="0" applyFill="1" applyBorder="1" applyAlignment="1" applyProtection="1">
      <alignment horizontal="center"/>
      <protection locked="0"/>
    </xf>
    <xf numFmtId="0" fontId="0" fillId="0" borderId="13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8" xfId="0" applyFont="1" applyFill="1" applyBorder="1" applyAlignment="1" applyProtection="1">
      <alignment horizontal="center"/>
      <protection locked="0"/>
    </xf>
    <xf numFmtId="0" fontId="0" fillId="0" borderId="9" xfId="0" applyFont="1" applyFill="1" applyBorder="1" applyAlignment="1" applyProtection="1">
      <alignment horizontal="center"/>
      <protection locked="0"/>
    </xf>
    <xf numFmtId="0" fontId="0" fillId="0" borderId="4" xfId="0" applyFont="1" applyBorder="1" applyAlignment="1" applyProtection="1">
      <alignment horizontal="center" vertical="center"/>
      <protection locked="0"/>
    </xf>
    <xf numFmtId="0" fontId="0" fillId="0" borderId="12" xfId="0" applyFill="1" applyBorder="1" applyAlignment="1" applyProtection="1">
      <alignment horizontal="center" vertical="center" wrapText="1"/>
      <protection locked="0"/>
    </xf>
    <xf numFmtId="0" fontId="0" fillId="0" borderId="13" xfId="0" applyFill="1" applyBorder="1" applyAlignment="1" applyProtection="1">
      <alignment horizontal="center" vertical="center" wrapText="1"/>
      <protection locked="0"/>
    </xf>
    <xf numFmtId="0" fontId="0" fillId="0" borderId="12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4" xfId="0" applyBorder="1" applyAlignment="1" applyProtection="1">
      <alignment horizontal="center" vertical="center"/>
      <protection locked="0"/>
    </xf>
    <xf numFmtId="0" fontId="13" fillId="0" borderId="0" xfId="6" applyFont="1" applyAlignment="1">
      <alignment horizontal="center" vertical="center" wrapText="1"/>
    </xf>
    <xf numFmtId="0" fontId="15" fillId="0" borderId="0" xfId="6" applyFont="1" applyAlignment="1">
      <alignment horizontal="center" vertical="center"/>
    </xf>
    <xf numFmtId="0" fontId="15" fillId="0" borderId="20" xfId="6" applyFont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3" fontId="15" fillId="0" borderId="0" xfId="6" applyNumberFormat="1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6" fillId="0" borderId="17" xfId="6" applyFont="1" applyBorder="1" applyAlignment="1">
      <alignment horizontal="center"/>
    </xf>
    <xf numFmtId="0" fontId="14" fillId="0" borderId="17" xfId="6" applyFont="1" applyBorder="1" applyAlignment="1">
      <alignment horizontal="center" vertical="center"/>
    </xf>
    <xf numFmtId="0" fontId="14" fillId="0" borderId="21" xfId="6" applyFont="1" applyBorder="1"/>
    <xf numFmtId="0" fontId="16" fillId="0" borderId="21" xfId="6" applyFont="1" applyBorder="1" applyAlignment="1">
      <alignment horizontal="center"/>
    </xf>
    <xf numFmtId="0" fontId="21" fillId="0" borderId="17" xfId="6" applyFont="1" applyBorder="1" applyAlignment="1">
      <alignment horizontal="center" vertical="center"/>
    </xf>
    <xf numFmtId="0" fontId="16" fillId="0" borderId="21" xfId="6" applyFont="1" applyBorder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14" fillId="0" borderId="0" xfId="6" applyFont="1" applyBorder="1" applyAlignment="1">
      <alignment horizontal="center" vertical="center"/>
    </xf>
    <xf numFmtId="0" fontId="14" fillId="0" borderId="36" xfId="6" applyFont="1" applyBorder="1" applyAlignment="1">
      <alignment horizontal="center" vertical="center"/>
    </xf>
    <xf numFmtId="0" fontId="16" fillId="0" borderId="14" xfId="6" applyFont="1" applyBorder="1" applyAlignment="1">
      <alignment horizontal="center" vertical="center"/>
    </xf>
    <xf numFmtId="0" fontId="16" fillId="0" borderId="24" xfId="6" applyFont="1" applyBorder="1" applyAlignment="1">
      <alignment horizontal="center" vertical="center"/>
    </xf>
    <xf numFmtId="0" fontId="0" fillId="3" borderId="14" xfId="0" applyFill="1" applyBorder="1" applyAlignment="1" applyProtection="1">
      <alignment horizontal="center"/>
      <protection locked="0"/>
    </xf>
    <xf numFmtId="0" fontId="0" fillId="3" borderId="24" xfId="0" applyFill="1" applyBorder="1" applyAlignment="1" applyProtection="1">
      <alignment horizontal="center"/>
      <protection locked="0"/>
    </xf>
    <xf numFmtId="0" fontId="0" fillId="3" borderId="14" xfId="0" applyFill="1" applyBorder="1" applyAlignment="1" applyProtection="1">
      <alignment horizontal="center"/>
    </xf>
    <xf numFmtId="0" fontId="0" fillId="3" borderId="24" xfId="0" applyFill="1" applyBorder="1" applyAlignment="1" applyProtection="1">
      <alignment horizontal="center"/>
    </xf>
    <xf numFmtId="0" fontId="20" fillId="3" borderId="14" xfId="0" applyFont="1" applyFill="1" applyBorder="1" applyAlignment="1" applyProtection="1">
      <alignment horizontal="center"/>
    </xf>
    <xf numFmtId="0" fontId="20" fillId="3" borderId="24" xfId="0" applyFont="1" applyFill="1" applyBorder="1" applyAlignment="1" applyProtection="1">
      <alignment horizontal="center"/>
    </xf>
    <xf numFmtId="0" fontId="0" fillId="3" borderId="14" xfId="0" applyFill="1" applyBorder="1" applyAlignment="1" applyProtection="1">
      <alignment horizontal="center" vertical="center"/>
      <protection locked="0"/>
    </xf>
    <xf numFmtId="0" fontId="0" fillId="3" borderId="33" xfId="0" applyFill="1" applyBorder="1" applyAlignment="1" applyProtection="1">
      <alignment horizontal="center" vertical="center"/>
      <protection locked="0"/>
    </xf>
    <xf numFmtId="0" fontId="0" fillId="3" borderId="24" xfId="0" applyFill="1" applyBorder="1" applyAlignment="1" applyProtection="1">
      <alignment horizontal="center" vertical="center"/>
      <protection locked="0"/>
    </xf>
  </cellXfs>
  <cellStyles count="8">
    <cellStyle name="Comma 2" xfId="4" xr:uid="{00000000-0005-0000-0000-000000000000}"/>
    <cellStyle name="Hyperlink 2" xfId="2" xr:uid="{00000000-0005-0000-0000-000001000000}"/>
    <cellStyle name="Normal" xfId="0" builtinId="0"/>
    <cellStyle name="Normal 2" xfId="1" xr:uid="{00000000-0005-0000-0000-000003000000}"/>
    <cellStyle name="Normal 2 2" xfId="6" xr:uid="{00000000-0005-0000-0000-000004000000}"/>
    <cellStyle name="Normal 3" xfId="3" xr:uid="{00000000-0005-0000-0000-000005000000}"/>
    <cellStyle name="Normal 4" xfId="5" xr:uid="{00000000-0005-0000-0000-000006000000}"/>
    <cellStyle name="Normal 4 2" xfId="7" xr:uid="{00000000-0005-0000-0000-000007000000}"/>
  </cellStyles>
  <dxfs count="0"/>
  <tableStyles count="0" defaultTableStyle="TableStyleMedium9" defaultPivotStyle="PivotStyleLight16"/>
  <colors>
    <mruColors>
      <color rgb="FF99FF99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533400</xdr:colOff>
      <xdr:row>3</xdr:row>
      <xdr:rowOff>26459</xdr:rowOff>
    </xdr:to>
    <xdr:grpSp>
      <xdr:nvGrpSpPr>
        <xdr:cNvPr id="2" name="Group 3">
          <a:extLst>
            <a:ext uri="{FF2B5EF4-FFF2-40B4-BE49-F238E27FC236}">
              <a16:creationId xmlns:a16="http://schemas.microsoft.com/office/drawing/2014/main" id="{B6BEF661-1E3A-4260-8546-B693B1F495C1}"/>
            </a:ext>
          </a:extLst>
        </xdr:cNvPr>
        <xdr:cNvGrpSpPr>
          <a:grpSpLocks/>
        </xdr:cNvGrpSpPr>
      </xdr:nvGrpSpPr>
      <xdr:grpSpPr bwMode="auto">
        <a:xfrm>
          <a:off x="0" y="0"/>
          <a:ext cx="6057900" cy="597959"/>
          <a:chOff x="911" y="2076"/>
          <a:chExt cx="9074" cy="938"/>
        </a:xfrm>
      </xdr:grpSpPr>
      <xdr:grpSp>
        <xdr:nvGrpSpPr>
          <xdr:cNvPr id="3" name="Group 4">
            <a:extLst>
              <a:ext uri="{FF2B5EF4-FFF2-40B4-BE49-F238E27FC236}">
                <a16:creationId xmlns:a16="http://schemas.microsoft.com/office/drawing/2014/main" id="{F5801B16-9209-42D4-9532-9156EB19C6D6}"/>
              </a:ext>
            </a:extLst>
          </xdr:cNvPr>
          <xdr:cNvGrpSpPr>
            <a:grpSpLocks/>
          </xdr:cNvGrpSpPr>
        </xdr:nvGrpSpPr>
        <xdr:grpSpPr bwMode="auto">
          <a:xfrm>
            <a:off x="1738" y="2124"/>
            <a:ext cx="8247" cy="889"/>
            <a:chOff x="1971" y="742"/>
            <a:chExt cx="8247" cy="889"/>
          </a:xfrm>
        </xdr:grpSpPr>
        <xdr:sp macro="" textlink="">
          <xdr:nvSpPr>
            <xdr:cNvPr id="7" name="WordArt 5">
              <a:extLst>
                <a:ext uri="{FF2B5EF4-FFF2-40B4-BE49-F238E27FC236}">
                  <a16:creationId xmlns:a16="http://schemas.microsoft.com/office/drawing/2014/main" id="{CB7C00FD-86A9-40AF-A706-936FA7AE131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042" y="742"/>
              <a:ext cx="8176" cy="378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9083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>
                    <a:noFill/>
                  </a:ln>
                  <a:solidFill>
                    <a:srgbClr val="0000FF"/>
                  </a:solidFill>
                  <a:effectLst/>
                  <a:latin typeface="Arial"/>
                  <a:cs typeface="Arial"/>
                </a:rPr>
                <a:t>TUZLA  INTERNATIONAL  AIRPORT</a:t>
              </a:r>
            </a:p>
          </xdr:txBody>
        </xdr:sp>
        <xdr:sp macro="" textlink="">
          <xdr:nvSpPr>
            <xdr:cNvPr id="8" name="WordArt 6">
              <a:extLst>
                <a:ext uri="{FF2B5EF4-FFF2-40B4-BE49-F238E27FC236}">
                  <a16:creationId xmlns:a16="http://schemas.microsoft.com/office/drawing/2014/main" id="{96904FD4-2EB7-4E2A-B6D1-55F6D56F6B6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245" y="1253"/>
              <a:ext cx="7331" cy="378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9083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MEĐUNARODNI  AERODROM  TUZLA</a:t>
              </a:r>
            </a:p>
          </xdr:txBody>
        </xdr:sp>
        <xdr:sp macro="" textlink="">
          <xdr:nvSpPr>
            <xdr:cNvPr id="9" name="WordArt 7">
              <a:extLst>
                <a:ext uri="{FF2B5EF4-FFF2-40B4-BE49-F238E27FC236}">
                  <a16:creationId xmlns:a16="http://schemas.microsoft.com/office/drawing/2014/main" id="{65BC1E70-FDF0-4F02-8AEE-157BFB6FF78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1971" y="1236"/>
              <a:ext cx="378" cy="222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38625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4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JP</a:t>
              </a:r>
            </a:p>
          </xdr:txBody>
        </xdr:sp>
        <xdr:sp macro="" textlink="">
          <xdr:nvSpPr>
            <xdr:cNvPr id="10" name="WordArt 8">
              <a:extLst>
                <a:ext uri="{FF2B5EF4-FFF2-40B4-BE49-F238E27FC236}">
                  <a16:creationId xmlns:a16="http://schemas.microsoft.com/office/drawing/2014/main" id="{844E309E-461A-4AB6-9E3C-B38E41715D3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9561" y="1375"/>
              <a:ext cx="654" cy="245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1745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d.o.o.</a:t>
              </a:r>
            </a:p>
          </xdr:txBody>
        </xdr:sp>
      </xdr:grpSp>
      <xdr:grpSp>
        <xdr:nvGrpSpPr>
          <xdr:cNvPr id="4" name="Group 9">
            <a:extLst>
              <a:ext uri="{FF2B5EF4-FFF2-40B4-BE49-F238E27FC236}">
                <a16:creationId xmlns:a16="http://schemas.microsoft.com/office/drawing/2014/main" id="{9D371AFA-3AF8-44AB-AB51-4BEBDB4E44DC}"/>
              </a:ext>
            </a:extLst>
          </xdr:cNvPr>
          <xdr:cNvGrpSpPr>
            <a:grpSpLocks/>
          </xdr:cNvGrpSpPr>
        </xdr:nvGrpSpPr>
        <xdr:grpSpPr bwMode="auto">
          <a:xfrm>
            <a:off x="911" y="2076"/>
            <a:ext cx="782" cy="938"/>
            <a:chOff x="1549" y="1680"/>
            <a:chExt cx="782" cy="938"/>
          </a:xfrm>
        </xdr:grpSpPr>
        <xdr:sp macro="" textlink="">
          <xdr:nvSpPr>
            <xdr:cNvPr id="5" name="Freeform 10">
              <a:extLst>
                <a:ext uri="{FF2B5EF4-FFF2-40B4-BE49-F238E27FC236}">
                  <a16:creationId xmlns:a16="http://schemas.microsoft.com/office/drawing/2014/main" id="{6BBDD180-4E5A-467A-B5E2-D584A2C470F8}"/>
                </a:ext>
              </a:extLst>
            </xdr:cNvPr>
            <xdr:cNvSpPr>
              <a:spLocks/>
            </xdr:cNvSpPr>
          </xdr:nvSpPr>
          <xdr:spPr bwMode="auto">
            <a:xfrm>
              <a:off x="1549" y="1680"/>
              <a:ext cx="782" cy="938"/>
            </a:xfrm>
            <a:custGeom>
              <a:avLst/>
              <a:gdLst>
                <a:gd name="T0" fmla="*/ 0 w 782"/>
                <a:gd name="T1" fmla="*/ 938 h 938"/>
                <a:gd name="T2" fmla="*/ 645 w 782"/>
                <a:gd name="T3" fmla="*/ 938 h 938"/>
                <a:gd name="T4" fmla="*/ 782 w 782"/>
                <a:gd name="T5" fmla="*/ 0 h 938"/>
                <a:gd name="T6" fmla="*/ 0 w 782"/>
                <a:gd name="T7" fmla="*/ 938 h 93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2" h="938">
                  <a:moveTo>
                    <a:pt x="0" y="938"/>
                  </a:moveTo>
                  <a:lnTo>
                    <a:pt x="645" y="938"/>
                  </a:lnTo>
                  <a:lnTo>
                    <a:pt x="782" y="0"/>
                  </a:lnTo>
                  <a:lnTo>
                    <a:pt x="0" y="938"/>
                  </a:lnTo>
                  <a:close/>
                </a:path>
              </a:pathLst>
            </a:custGeom>
            <a:solidFill>
              <a:srgbClr val="0000FF"/>
            </a:solidFill>
            <a:ln w="635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" name="Freeform 11">
              <a:extLst>
                <a:ext uri="{FF2B5EF4-FFF2-40B4-BE49-F238E27FC236}">
                  <a16:creationId xmlns:a16="http://schemas.microsoft.com/office/drawing/2014/main" id="{951BEB50-3377-481B-BA67-CAA7C90A1C10}"/>
                </a:ext>
              </a:extLst>
            </xdr:cNvPr>
            <xdr:cNvSpPr>
              <a:spLocks/>
            </xdr:cNvSpPr>
          </xdr:nvSpPr>
          <xdr:spPr bwMode="auto">
            <a:xfrm>
              <a:off x="1549" y="2266"/>
              <a:ext cx="644" cy="352"/>
            </a:xfrm>
            <a:custGeom>
              <a:avLst/>
              <a:gdLst>
                <a:gd name="T0" fmla="*/ 0 w 644"/>
                <a:gd name="T1" fmla="*/ 352 h 352"/>
                <a:gd name="T2" fmla="*/ 644 w 644"/>
                <a:gd name="T3" fmla="*/ 352 h 352"/>
                <a:gd name="T4" fmla="*/ 540 w 644"/>
                <a:gd name="T5" fmla="*/ 0 h 352"/>
                <a:gd name="T6" fmla="*/ 0 w 644"/>
                <a:gd name="T7" fmla="*/ 352 h 3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44" h="352">
                  <a:moveTo>
                    <a:pt x="0" y="352"/>
                  </a:moveTo>
                  <a:lnTo>
                    <a:pt x="644" y="352"/>
                  </a:lnTo>
                  <a:lnTo>
                    <a:pt x="540" y="0"/>
                  </a:lnTo>
                  <a:lnTo>
                    <a:pt x="0" y="352"/>
                  </a:lnTo>
                  <a:close/>
                </a:path>
              </a:pathLst>
            </a:custGeom>
            <a:solidFill>
              <a:srgbClr val="FFFF00"/>
            </a:solidFill>
            <a:ln w="6350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0</xdr:row>
      <xdr:rowOff>1</xdr:rowOff>
    </xdr:from>
    <xdr:to>
      <xdr:col>10</xdr:col>
      <xdr:colOff>0</xdr:colOff>
      <xdr:row>3</xdr:row>
      <xdr:rowOff>26460</xdr:rowOff>
    </xdr:to>
    <xdr:grpSp>
      <xdr:nvGrpSpPr>
        <xdr:cNvPr id="11" name="Group 3">
          <a:extLst>
            <a:ext uri="{FF2B5EF4-FFF2-40B4-BE49-F238E27FC236}">
              <a16:creationId xmlns:a16="http://schemas.microsoft.com/office/drawing/2014/main" id="{71191B89-6027-4263-84FC-03C71E5629BB}"/>
            </a:ext>
          </a:extLst>
        </xdr:cNvPr>
        <xdr:cNvGrpSpPr>
          <a:grpSpLocks/>
        </xdr:cNvGrpSpPr>
      </xdr:nvGrpSpPr>
      <xdr:grpSpPr bwMode="auto">
        <a:xfrm>
          <a:off x="6138333" y="1"/>
          <a:ext cx="0" cy="597959"/>
          <a:chOff x="911" y="2076"/>
          <a:chExt cx="9074" cy="938"/>
        </a:xfrm>
      </xdr:grpSpPr>
      <xdr:grpSp>
        <xdr:nvGrpSpPr>
          <xdr:cNvPr id="12" name="Group 4">
            <a:extLst>
              <a:ext uri="{FF2B5EF4-FFF2-40B4-BE49-F238E27FC236}">
                <a16:creationId xmlns:a16="http://schemas.microsoft.com/office/drawing/2014/main" id="{0E453CF6-D5AB-4B3D-8DF4-80CA5099DA21}"/>
              </a:ext>
            </a:extLst>
          </xdr:cNvPr>
          <xdr:cNvGrpSpPr>
            <a:grpSpLocks/>
          </xdr:cNvGrpSpPr>
        </xdr:nvGrpSpPr>
        <xdr:grpSpPr bwMode="auto">
          <a:xfrm>
            <a:off x="1738" y="2124"/>
            <a:ext cx="8247" cy="889"/>
            <a:chOff x="1971" y="742"/>
            <a:chExt cx="8247" cy="889"/>
          </a:xfrm>
        </xdr:grpSpPr>
        <xdr:sp macro="" textlink="">
          <xdr:nvSpPr>
            <xdr:cNvPr id="16" name="WordArt 5">
              <a:extLst>
                <a:ext uri="{FF2B5EF4-FFF2-40B4-BE49-F238E27FC236}">
                  <a16:creationId xmlns:a16="http://schemas.microsoft.com/office/drawing/2014/main" id="{7DB1E52B-9FEC-45F6-A3B1-3F427FC53BC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042" y="742"/>
              <a:ext cx="8176" cy="378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9083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>
                    <a:noFill/>
                  </a:ln>
                  <a:solidFill>
                    <a:srgbClr val="0000FF"/>
                  </a:solidFill>
                  <a:effectLst/>
                  <a:latin typeface="Arial"/>
                  <a:cs typeface="Arial"/>
                </a:rPr>
                <a:t>TUZLA  INTERNATIONAL  AIRPORT</a:t>
              </a:r>
            </a:p>
          </xdr:txBody>
        </xdr:sp>
        <xdr:sp macro="" textlink="">
          <xdr:nvSpPr>
            <xdr:cNvPr id="17" name="WordArt 6">
              <a:extLst>
                <a:ext uri="{FF2B5EF4-FFF2-40B4-BE49-F238E27FC236}">
                  <a16:creationId xmlns:a16="http://schemas.microsoft.com/office/drawing/2014/main" id="{42711455-E65A-4BDE-824D-7C37C051C17E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245" y="1253"/>
              <a:ext cx="7331" cy="378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9083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MEĐUNARODNI  AERODROM  TUZLA</a:t>
              </a:r>
            </a:p>
          </xdr:txBody>
        </xdr:sp>
        <xdr:sp macro="" textlink="">
          <xdr:nvSpPr>
            <xdr:cNvPr id="18" name="WordArt 7">
              <a:extLst>
                <a:ext uri="{FF2B5EF4-FFF2-40B4-BE49-F238E27FC236}">
                  <a16:creationId xmlns:a16="http://schemas.microsoft.com/office/drawing/2014/main" id="{380CD18D-3FF0-4B6E-9F3E-C7BCC239058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1971" y="1236"/>
              <a:ext cx="378" cy="222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38625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4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JP</a:t>
              </a:r>
            </a:p>
          </xdr:txBody>
        </xdr:sp>
        <xdr:sp macro="" textlink="">
          <xdr:nvSpPr>
            <xdr:cNvPr id="19" name="WordArt 8">
              <a:extLst>
                <a:ext uri="{FF2B5EF4-FFF2-40B4-BE49-F238E27FC236}">
                  <a16:creationId xmlns:a16="http://schemas.microsoft.com/office/drawing/2014/main" id="{15F5721A-1375-412D-BAA3-531CBDB891E0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9561" y="1375"/>
              <a:ext cx="654" cy="245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1745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d.o.o.</a:t>
              </a:r>
            </a:p>
          </xdr:txBody>
        </xdr:sp>
      </xdr:grpSp>
      <xdr:grpSp>
        <xdr:nvGrpSpPr>
          <xdr:cNvPr id="13" name="Group 9">
            <a:extLst>
              <a:ext uri="{FF2B5EF4-FFF2-40B4-BE49-F238E27FC236}">
                <a16:creationId xmlns:a16="http://schemas.microsoft.com/office/drawing/2014/main" id="{4BE75B7D-789C-4E27-B474-D2CB440F1291}"/>
              </a:ext>
            </a:extLst>
          </xdr:cNvPr>
          <xdr:cNvGrpSpPr>
            <a:grpSpLocks/>
          </xdr:cNvGrpSpPr>
        </xdr:nvGrpSpPr>
        <xdr:grpSpPr bwMode="auto">
          <a:xfrm>
            <a:off x="911" y="2076"/>
            <a:ext cx="782" cy="938"/>
            <a:chOff x="1549" y="1680"/>
            <a:chExt cx="782" cy="938"/>
          </a:xfrm>
        </xdr:grpSpPr>
        <xdr:sp macro="" textlink="">
          <xdr:nvSpPr>
            <xdr:cNvPr id="14" name="Freeform 10">
              <a:extLst>
                <a:ext uri="{FF2B5EF4-FFF2-40B4-BE49-F238E27FC236}">
                  <a16:creationId xmlns:a16="http://schemas.microsoft.com/office/drawing/2014/main" id="{D2A678C3-94F8-4565-8152-E7B91CA4FD97}"/>
                </a:ext>
              </a:extLst>
            </xdr:cNvPr>
            <xdr:cNvSpPr>
              <a:spLocks/>
            </xdr:cNvSpPr>
          </xdr:nvSpPr>
          <xdr:spPr bwMode="auto">
            <a:xfrm>
              <a:off x="1549" y="1680"/>
              <a:ext cx="782" cy="938"/>
            </a:xfrm>
            <a:custGeom>
              <a:avLst/>
              <a:gdLst>
                <a:gd name="T0" fmla="*/ 0 w 782"/>
                <a:gd name="T1" fmla="*/ 938 h 938"/>
                <a:gd name="T2" fmla="*/ 645 w 782"/>
                <a:gd name="T3" fmla="*/ 938 h 938"/>
                <a:gd name="T4" fmla="*/ 782 w 782"/>
                <a:gd name="T5" fmla="*/ 0 h 938"/>
                <a:gd name="T6" fmla="*/ 0 w 782"/>
                <a:gd name="T7" fmla="*/ 938 h 93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2" h="938">
                  <a:moveTo>
                    <a:pt x="0" y="938"/>
                  </a:moveTo>
                  <a:lnTo>
                    <a:pt x="645" y="938"/>
                  </a:lnTo>
                  <a:lnTo>
                    <a:pt x="782" y="0"/>
                  </a:lnTo>
                  <a:lnTo>
                    <a:pt x="0" y="938"/>
                  </a:lnTo>
                  <a:close/>
                </a:path>
              </a:pathLst>
            </a:custGeom>
            <a:solidFill>
              <a:srgbClr val="0000FF"/>
            </a:solidFill>
            <a:ln w="635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5" name="Freeform 11">
              <a:extLst>
                <a:ext uri="{FF2B5EF4-FFF2-40B4-BE49-F238E27FC236}">
                  <a16:creationId xmlns:a16="http://schemas.microsoft.com/office/drawing/2014/main" id="{219F92EF-3F60-4C4A-9916-58F0FF4EA388}"/>
                </a:ext>
              </a:extLst>
            </xdr:cNvPr>
            <xdr:cNvSpPr>
              <a:spLocks/>
            </xdr:cNvSpPr>
          </xdr:nvSpPr>
          <xdr:spPr bwMode="auto">
            <a:xfrm>
              <a:off x="1549" y="2266"/>
              <a:ext cx="644" cy="352"/>
            </a:xfrm>
            <a:custGeom>
              <a:avLst/>
              <a:gdLst>
                <a:gd name="T0" fmla="*/ 0 w 644"/>
                <a:gd name="T1" fmla="*/ 352 h 352"/>
                <a:gd name="T2" fmla="*/ 644 w 644"/>
                <a:gd name="T3" fmla="*/ 352 h 352"/>
                <a:gd name="T4" fmla="*/ 540 w 644"/>
                <a:gd name="T5" fmla="*/ 0 h 352"/>
                <a:gd name="T6" fmla="*/ 0 w 644"/>
                <a:gd name="T7" fmla="*/ 352 h 3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44" h="352">
                  <a:moveTo>
                    <a:pt x="0" y="352"/>
                  </a:moveTo>
                  <a:lnTo>
                    <a:pt x="644" y="352"/>
                  </a:lnTo>
                  <a:lnTo>
                    <a:pt x="540" y="0"/>
                  </a:lnTo>
                  <a:lnTo>
                    <a:pt x="0" y="352"/>
                  </a:lnTo>
                  <a:close/>
                </a:path>
              </a:pathLst>
            </a:custGeom>
            <a:solidFill>
              <a:srgbClr val="FFFF00"/>
            </a:solidFill>
            <a:ln w="6350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84664</xdr:rowOff>
    </xdr:from>
    <xdr:to>
      <xdr:col>9</xdr:col>
      <xdr:colOff>533400</xdr:colOff>
      <xdr:row>3</xdr:row>
      <xdr:rowOff>111123</xdr:rowOff>
    </xdr:to>
    <xdr:grpSp>
      <xdr:nvGrpSpPr>
        <xdr:cNvPr id="2" name="Group 3">
          <a:extLst>
            <a:ext uri="{FF2B5EF4-FFF2-40B4-BE49-F238E27FC236}">
              <a16:creationId xmlns:a16="http://schemas.microsoft.com/office/drawing/2014/main" id="{A6B11866-4C40-47B3-A285-4DB4410F83CA}"/>
            </a:ext>
          </a:extLst>
        </xdr:cNvPr>
        <xdr:cNvGrpSpPr>
          <a:grpSpLocks/>
        </xdr:cNvGrpSpPr>
      </xdr:nvGrpSpPr>
      <xdr:grpSpPr bwMode="auto">
        <a:xfrm>
          <a:off x="0" y="84664"/>
          <a:ext cx="6057900" cy="597959"/>
          <a:chOff x="911" y="2076"/>
          <a:chExt cx="9074" cy="938"/>
        </a:xfrm>
      </xdr:grpSpPr>
      <xdr:grpSp>
        <xdr:nvGrpSpPr>
          <xdr:cNvPr id="3" name="Group 4">
            <a:extLst>
              <a:ext uri="{FF2B5EF4-FFF2-40B4-BE49-F238E27FC236}">
                <a16:creationId xmlns:a16="http://schemas.microsoft.com/office/drawing/2014/main" id="{F21FA438-E7E2-4775-95BC-87A21826C62E}"/>
              </a:ext>
            </a:extLst>
          </xdr:cNvPr>
          <xdr:cNvGrpSpPr>
            <a:grpSpLocks/>
          </xdr:cNvGrpSpPr>
        </xdr:nvGrpSpPr>
        <xdr:grpSpPr bwMode="auto">
          <a:xfrm>
            <a:off x="1738" y="2124"/>
            <a:ext cx="8247" cy="889"/>
            <a:chOff x="1971" y="742"/>
            <a:chExt cx="8247" cy="889"/>
          </a:xfrm>
        </xdr:grpSpPr>
        <xdr:sp macro="" textlink="">
          <xdr:nvSpPr>
            <xdr:cNvPr id="7" name="WordArt 5">
              <a:extLst>
                <a:ext uri="{FF2B5EF4-FFF2-40B4-BE49-F238E27FC236}">
                  <a16:creationId xmlns:a16="http://schemas.microsoft.com/office/drawing/2014/main" id="{679E2E60-722B-4AFD-AEB7-53D77C87F21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042" y="742"/>
              <a:ext cx="8176" cy="378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9083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>
                    <a:noFill/>
                  </a:ln>
                  <a:solidFill>
                    <a:srgbClr val="0000FF"/>
                  </a:solidFill>
                  <a:effectLst/>
                  <a:latin typeface="Arial"/>
                  <a:cs typeface="Arial"/>
                </a:rPr>
                <a:t>TUZLA  INTERNATIONAL  AIRPORT</a:t>
              </a:r>
            </a:p>
          </xdr:txBody>
        </xdr:sp>
        <xdr:sp macro="" textlink="">
          <xdr:nvSpPr>
            <xdr:cNvPr id="8" name="WordArt 6">
              <a:extLst>
                <a:ext uri="{FF2B5EF4-FFF2-40B4-BE49-F238E27FC236}">
                  <a16:creationId xmlns:a16="http://schemas.microsoft.com/office/drawing/2014/main" id="{6F3197D9-83F5-46FE-8F3D-83ABE8DAE0F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245" y="1253"/>
              <a:ext cx="7331" cy="378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9083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MEĐUNARODNI  AERODROM  TUZLA</a:t>
              </a:r>
            </a:p>
          </xdr:txBody>
        </xdr:sp>
        <xdr:sp macro="" textlink="">
          <xdr:nvSpPr>
            <xdr:cNvPr id="9" name="WordArt 7">
              <a:extLst>
                <a:ext uri="{FF2B5EF4-FFF2-40B4-BE49-F238E27FC236}">
                  <a16:creationId xmlns:a16="http://schemas.microsoft.com/office/drawing/2014/main" id="{C35A581C-C6C6-46FB-A890-48560ECBAF4F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1971" y="1236"/>
              <a:ext cx="378" cy="222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38625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4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JP</a:t>
              </a:r>
            </a:p>
          </xdr:txBody>
        </xdr:sp>
        <xdr:sp macro="" textlink="">
          <xdr:nvSpPr>
            <xdr:cNvPr id="10" name="WordArt 8">
              <a:extLst>
                <a:ext uri="{FF2B5EF4-FFF2-40B4-BE49-F238E27FC236}">
                  <a16:creationId xmlns:a16="http://schemas.microsoft.com/office/drawing/2014/main" id="{D611BB6B-537C-4051-99C3-6E0946DEF94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9561" y="1375"/>
              <a:ext cx="654" cy="245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1745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d.o.o.</a:t>
              </a:r>
            </a:p>
          </xdr:txBody>
        </xdr:sp>
      </xdr:grpSp>
      <xdr:grpSp>
        <xdr:nvGrpSpPr>
          <xdr:cNvPr id="4" name="Group 9">
            <a:extLst>
              <a:ext uri="{FF2B5EF4-FFF2-40B4-BE49-F238E27FC236}">
                <a16:creationId xmlns:a16="http://schemas.microsoft.com/office/drawing/2014/main" id="{A645F532-6601-4DF2-BBAB-CD1EE166D00E}"/>
              </a:ext>
            </a:extLst>
          </xdr:cNvPr>
          <xdr:cNvGrpSpPr>
            <a:grpSpLocks/>
          </xdr:cNvGrpSpPr>
        </xdr:nvGrpSpPr>
        <xdr:grpSpPr bwMode="auto">
          <a:xfrm>
            <a:off x="911" y="2076"/>
            <a:ext cx="782" cy="938"/>
            <a:chOff x="1549" y="1680"/>
            <a:chExt cx="782" cy="938"/>
          </a:xfrm>
        </xdr:grpSpPr>
        <xdr:sp macro="" textlink="">
          <xdr:nvSpPr>
            <xdr:cNvPr id="5" name="Freeform 10">
              <a:extLst>
                <a:ext uri="{FF2B5EF4-FFF2-40B4-BE49-F238E27FC236}">
                  <a16:creationId xmlns:a16="http://schemas.microsoft.com/office/drawing/2014/main" id="{EDCA2B34-D201-467D-9D11-FCAEA775C5D1}"/>
                </a:ext>
              </a:extLst>
            </xdr:cNvPr>
            <xdr:cNvSpPr>
              <a:spLocks/>
            </xdr:cNvSpPr>
          </xdr:nvSpPr>
          <xdr:spPr bwMode="auto">
            <a:xfrm>
              <a:off x="1549" y="1680"/>
              <a:ext cx="782" cy="938"/>
            </a:xfrm>
            <a:custGeom>
              <a:avLst/>
              <a:gdLst>
                <a:gd name="T0" fmla="*/ 0 w 782"/>
                <a:gd name="T1" fmla="*/ 938 h 938"/>
                <a:gd name="T2" fmla="*/ 645 w 782"/>
                <a:gd name="T3" fmla="*/ 938 h 938"/>
                <a:gd name="T4" fmla="*/ 782 w 782"/>
                <a:gd name="T5" fmla="*/ 0 h 938"/>
                <a:gd name="T6" fmla="*/ 0 w 782"/>
                <a:gd name="T7" fmla="*/ 938 h 93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2" h="938">
                  <a:moveTo>
                    <a:pt x="0" y="938"/>
                  </a:moveTo>
                  <a:lnTo>
                    <a:pt x="645" y="938"/>
                  </a:lnTo>
                  <a:lnTo>
                    <a:pt x="782" y="0"/>
                  </a:lnTo>
                  <a:lnTo>
                    <a:pt x="0" y="938"/>
                  </a:lnTo>
                  <a:close/>
                </a:path>
              </a:pathLst>
            </a:custGeom>
            <a:solidFill>
              <a:srgbClr val="0000FF"/>
            </a:solidFill>
            <a:ln w="635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" name="Freeform 11">
              <a:extLst>
                <a:ext uri="{FF2B5EF4-FFF2-40B4-BE49-F238E27FC236}">
                  <a16:creationId xmlns:a16="http://schemas.microsoft.com/office/drawing/2014/main" id="{5C9584B8-9E02-41A9-8A00-C517425F1FBB}"/>
                </a:ext>
              </a:extLst>
            </xdr:cNvPr>
            <xdr:cNvSpPr>
              <a:spLocks/>
            </xdr:cNvSpPr>
          </xdr:nvSpPr>
          <xdr:spPr bwMode="auto">
            <a:xfrm>
              <a:off x="1549" y="2266"/>
              <a:ext cx="644" cy="352"/>
            </a:xfrm>
            <a:custGeom>
              <a:avLst/>
              <a:gdLst>
                <a:gd name="T0" fmla="*/ 0 w 644"/>
                <a:gd name="T1" fmla="*/ 352 h 352"/>
                <a:gd name="T2" fmla="*/ 644 w 644"/>
                <a:gd name="T3" fmla="*/ 352 h 352"/>
                <a:gd name="T4" fmla="*/ 540 w 644"/>
                <a:gd name="T5" fmla="*/ 0 h 352"/>
                <a:gd name="T6" fmla="*/ 0 w 644"/>
                <a:gd name="T7" fmla="*/ 352 h 3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44" h="352">
                  <a:moveTo>
                    <a:pt x="0" y="352"/>
                  </a:moveTo>
                  <a:lnTo>
                    <a:pt x="644" y="352"/>
                  </a:lnTo>
                  <a:lnTo>
                    <a:pt x="540" y="0"/>
                  </a:lnTo>
                  <a:lnTo>
                    <a:pt x="0" y="352"/>
                  </a:lnTo>
                  <a:close/>
                </a:path>
              </a:pathLst>
            </a:custGeom>
            <a:solidFill>
              <a:srgbClr val="FFFF00"/>
            </a:solidFill>
            <a:ln w="6350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0</xdr:row>
      <xdr:rowOff>1</xdr:rowOff>
    </xdr:from>
    <xdr:to>
      <xdr:col>10</xdr:col>
      <xdr:colOff>0</xdr:colOff>
      <xdr:row>3</xdr:row>
      <xdr:rowOff>26460</xdr:rowOff>
    </xdr:to>
    <xdr:grpSp>
      <xdr:nvGrpSpPr>
        <xdr:cNvPr id="11" name="Group 3">
          <a:extLst>
            <a:ext uri="{FF2B5EF4-FFF2-40B4-BE49-F238E27FC236}">
              <a16:creationId xmlns:a16="http://schemas.microsoft.com/office/drawing/2014/main" id="{B3E8CB23-2920-4797-84A6-7218BCACB360}"/>
            </a:ext>
          </a:extLst>
        </xdr:cNvPr>
        <xdr:cNvGrpSpPr>
          <a:grpSpLocks/>
        </xdr:cNvGrpSpPr>
      </xdr:nvGrpSpPr>
      <xdr:grpSpPr bwMode="auto">
        <a:xfrm>
          <a:off x="6138333" y="1"/>
          <a:ext cx="0" cy="597959"/>
          <a:chOff x="911" y="2076"/>
          <a:chExt cx="9074" cy="938"/>
        </a:xfrm>
      </xdr:grpSpPr>
      <xdr:grpSp>
        <xdr:nvGrpSpPr>
          <xdr:cNvPr id="12" name="Group 4">
            <a:extLst>
              <a:ext uri="{FF2B5EF4-FFF2-40B4-BE49-F238E27FC236}">
                <a16:creationId xmlns:a16="http://schemas.microsoft.com/office/drawing/2014/main" id="{AB35B4F2-A899-476B-8F3D-3F3E69AAEC6F}"/>
              </a:ext>
            </a:extLst>
          </xdr:cNvPr>
          <xdr:cNvGrpSpPr>
            <a:grpSpLocks/>
          </xdr:cNvGrpSpPr>
        </xdr:nvGrpSpPr>
        <xdr:grpSpPr bwMode="auto">
          <a:xfrm>
            <a:off x="1738" y="2124"/>
            <a:ext cx="8247" cy="889"/>
            <a:chOff x="1971" y="742"/>
            <a:chExt cx="8247" cy="889"/>
          </a:xfrm>
        </xdr:grpSpPr>
        <xdr:sp macro="" textlink="">
          <xdr:nvSpPr>
            <xdr:cNvPr id="16" name="WordArt 5">
              <a:extLst>
                <a:ext uri="{FF2B5EF4-FFF2-40B4-BE49-F238E27FC236}">
                  <a16:creationId xmlns:a16="http://schemas.microsoft.com/office/drawing/2014/main" id="{5FA423BE-EC10-45A2-858A-5FBB75E1E04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042" y="742"/>
              <a:ext cx="8176" cy="378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9083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>
                    <a:noFill/>
                  </a:ln>
                  <a:solidFill>
                    <a:srgbClr val="0000FF"/>
                  </a:solidFill>
                  <a:effectLst/>
                  <a:latin typeface="Arial"/>
                  <a:cs typeface="Arial"/>
                </a:rPr>
                <a:t>TUZLA  INTERNATIONAL  AIRPORT</a:t>
              </a:r>
            </a:p>
          </xdr:txBody>
        </xdr:sp>
        <xdr:sp macro="" textlink="">
          <xdr:nvSpPr>
            <xdr:cNvPr id="17" name="WordArt 6">
              <a:extLst>
                <a:ext uri="{FF2B5EF4-FFF2-40B4-BE49-F238E27FC236}">
                  <a16:creationId xmlns:a16="http://schemas.microsoft.com/office/drawing/2014/main" id="{B0EE0E82-6E42-4D9A-BAA4-0E0D7ED40CF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245" y="1253"/>
              <a:ext cx="7331" cy="378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9083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MEĐUNARODNI  AERODROM  TUZLA</a:t>
              </a:r>
            </a:p>
          </xdr:txBody>
        </xdr:sp>
        <xdr:sp macro="" textlink="">
          <xdr:nvSpPr>
            <xdr:cNvPr id="18" name="WordArt 7">
              <a:extLst>
                <a:ext uri="{FF2B5EF4-FFF2-40B4-BE49-F238E27FC236}">
                  <a16:creationId xmlns:a16="http://schemas.microsoft.com/office/drawing/2014/main" id="{4E8D9089-580B-4198-BDDB-5B3E77284C66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1971" y="1236"/>
              <a:ext cx="378" cy="222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38625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4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JP</a:t>
              </a:r>
            </a:p>
          </xdr:txBody>
        </xdr:sp>
        <xdr:sp macro="" textlink="">
          <xdr:nvSpPr>
            <xdr:cNvPr id="19" name="WordArt 8">
              <a:extLst>
                <a:ext uri="{FF2B5EF4-FFF2-40B4-BE49-F238E27FC236}">
                  <a16:creationId xmlns:a16="http://schemas.microsoft.com/office/drawing/2014/main" id="{C89AD1EA-34A2-42E3-B0FB-74AA7D1AFD12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9561" y="1375"/>
              <a:ext cx="654" cy="245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1745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d.o.o.</a:t>
              </a:r>
            </a:p>
          </xdr:txBody>
        </xdr:sp>
      </xdr:grpSp>
      <xdr:grpSp>
        <xdr:nvGrpSpPr>
          <xdr:cNvPr id="13" name="Group 9">
            <a:extLst>
              <a:ext uri="{FF2B5EF4-FFF2-40B4-BE49-F238E27FC236}">
                <a16:creationId xmlns:a16="http://schemas.microsoft.com/office/drawing/2014/main" id="{18CD5C74-DE25-45C1-99AE-50B1724F1EDF}"/>
              </a:ext>
            </a:extLst>
          </xdr:cNvPr>
          <xdr:cNvGrpSpPr>
            <a:grpSpLocks/>
          </xdr:cNvGrpSpPr>
        </xdr:nvGrpSpPr>
        <xdr:grpSpPr bwMode="auto">
          <a:xfrm>
            <a:off x="911" y="2076"/>
            <a:ext cx="782" cy="938"/>
            <a:chOff x="1549" y="1680"/>
            <a:chExt cx="782" cy="938"/>
          </a:xfrm>
        </xdr:grpSpPr>
        <xdr:sp macro="" textlink="">
          <xdr:nvSpPr>
            <xdr:cNvPr id="14" name="Freeform 10">
              <a:extLst>
                <a:ext uri="{FF2B5EF4-FFF2-40B4-BE49-F238E27FC236}">
                  <a16:creationId xmlns:a16="http://schemas.microsoft.com/office/drawing/2014/main" id="{556AB402-F2B6-4995-93BC-031243D3833D}"/>
                </a:ext>
              </a:extLst>
            </xdr:cNvPr>
            <xdr:cNvSpPr>
              <a:spLocks/>
            </xdr:cNvSpPr>
          </xdr:nvSpPr>
          <xdr:spPr bwMode="auto">
            <a:xfrm>
              <a:off x="1549" y="1680"/>
              <a:ext cx="782" cy="938"/>
            </a:xfrm>
            <a:custGeom>
              <a:avLst/>
              <a:gdLst>
                <a:gd name="T0" fmla="*/ 0 w 782"/>
                <a:gd name="T1" fmla="*/ 938 h 938"/>
                <a:gd name="T2" fmla="*/ 645 w 782"/>
                <a:gd name="T3" fmla="*/ 938 h 938"/>
                <a:gd name="T4" fmla="*/ 782 w 782"/>
                <a:gd name="T5" fmla="*/ 0 h 938"/>
                <a:gd name="T6" fmla="*/ 0 w 782"/>
                <a:gd name="T7" fmla="*/ 938 h 93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2" h="938">
                  <a:moveTo>
                    <a:pt x="0" y="938"/>
                  </a:moveTo>
                  <a:lnTo>
                    <a:pt x="645" y="938"/>
                  </a:lnTo>
                  <a:lnTo>
                    <a:pt x="782" y="0"/>
                  </a:lnTo>
                  <a:lnTo>
                    <a:pt x="0" y="938"/>
                  </a:lnTo>
                  <a:close/>
                </a:path>
              </a:pathLst>
            </a:custGeom>
            <a:solidFill>
              <a:srgbClr val="0000FF"/>
            </a:solidFill>
            <a:ln w="635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5" name="Freeform 11">
              <a:extLst>
                <a:ext uri="{FF2B5EF4-FFF2-40B4-BE49-F238E27FC236}">
                  <a16:creationId xmlns:a16="http://schemas.microsoft.com/office/drawing/2014/main" id="{10097B20-5463-4178-8763-74C5B27B6825}"/>
                </a:ext>
              </a:extLst>
            </xdr:cNvPr>
            <xdr:cNvSpPr>
              <a:spLocks/>
            </xdr:cNvSpPr>
          </xdr:nvSpPr>
          <xdr:spPr bwMode="auto">
            <a:xfrm>
              <a:off x="1549" y="2266"/>
              <a:ext cx="644" cy="352"/>
            </a:xfrm>
            <a:custGeom>
              <a:avLst/>
              <a:gdLst>
                <a:gd name="T0" fmla="*/ 0 w 644"/>
                <a:gd name="T1" fmla="*/ 352 h 352"/>
                <a:gd name="T2" fmla="*/ 644 w 644"/>
                <a:gd name="T3" fmla="*/ 352 h 352"/>
                <a:gd name="T4" fmla="*/ 540 w 644"/>
                <a:gd name="T5" fmla="*/ 0 h 352"/>
                <a:gd name="T6" fmla="*/ 0 w 644"/>
                <a:gd name="T7" fmla="*/ 352 h 3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44" h="352">
                  <a:moveTo>
                    <a:pt x="0" y="352"/>
                  </a:moveTo>
                  <a:lnTo>
                    <a:pt x="644" y="352"/>
                  </a:lnTo>
                  <a:lnTo>
                    <a:pt x="540" y="0"/>
                  </a:lnTo>
                  <a:lnTo>
                    <a:pt x="0" y="352"/>
                  </a:lnTo>
                  <a:close/>
                </a:path>
              </a:pathLst>
            </a:custGeom>
            <a:solidFill>
              <a:srgbClr val="FFFF00"/>
            </a:solidFill>
            <a:ln w="6350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571500</xdr:colOff>
      <xdr:row>3</xdr:row>
      <xdr:rowOff>26459</xdr:rowOff>
    </xdr:to>
    <xdr:grpSp>
      <xdr:nvGrpSpPr>
        <xdr:cNvPr id="2" name="Group 3">
          <a:extLst>
            <a:ext uri="{FF2B5EF4-FFF2-40B4-BE49-F238E27FC236}">
              <a16:creationId xmlns:a16="http://schemas.microsoft.com/office/drawing/2014/main" id="{5B89C580-E993-4133-87F2-A8D894D00D44}"/>
            </a:ext>
          </a:extLst>
        </xdr:cNvPr>
        <xdr:cNvGrpSpPr>
          <a:grpSpLocks/>
        </xdr:cNvGrpSpPr>
      </xdr:nvGrpSpPr>
      <xdr:grpSpPr bwMode="auto">
        <a:xfrm>
          <a:off x="0" y="0"/>
          <a:ext cx="6057900" cy="597959"/>
          <a:chOff x="911" y="2076"/>
          <a:chExt cx="9074" cy="938"/>
        </a:xfrm>
      </xdr:grpSpPr>
      <xdr:grpSp>
        <xdr:nvGrpSpPr>
          <xdr:cNvPr id="3" name="Group 4">
            <a:extLst>
              <a:ext uri="{FF2B5EF4-FFF2-40B4-BE49-F238E27FC236}">
                <a16:creationId xmlns:a16="http://schemas.microsoft.com/office/drawing/2014/main" id="{A33760B8-D9D8-4BB3-9CC7-54DFD6513314}"/>
              </a:ext>
            </a:extLst>
          </xdr:cNvPr>
          <xdr:cNvGrpSpPr>
            <a:grpSpLocks/>
          </xdr:cNvGrpSpPr>
        </xdr:nvGrpSpPr>
        <xdr:grpSpPr bwMode="auto">
          <a:xfrm>
            <a:off x="1738" y="2124"/>
            <a:ext cx="8247" cy="889"/>
            <a:chOff x="1971" y="742"/>
            <a:chExt cx="8247" cy="889"/>
          </a:xfrm>
        </xdr:grpSpPr>
        <xdr:sp macro="" textlink="">
          <xdr:nvSpPr>
            <xdr:cNvPr id="7" name="WordArt 5">
              <a:extLst>
                <a:ext uri="{FF2B5EF4-FFF2-40B4-BE49-F238E27FC236}">
                  <a16:creationId xmlns:a16="http://schemas.microsoft.com/office/drawing/2014/main" id="{11593811-97D1-4025-A108-043E8ECC6B6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042" y="742"/>
              <a:ext cx="8176" cy="378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9083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>
                    <a:noFill/>
                  </a:ln>
                  <a:solidFill>
                    <a:srgbClr val="0000FF"/>
                  </a:solidFill>
                  <a:effectLst/>
                  <a:latin typeface="Arial"/>
                  <a:cs typeface="Arial"/>
                </a:rPr>
                <a:t>TUZLA  INTERNATIONAL  AIRPORT</a:t>
              </a:r>
            </a:p>
          </xdr:txBody>
        </xdr:sp>
        <xdr:sp macro="" textlink="">
          <xdr:nvSpPr>
            <xdr:cNvPr id="8" name="WordArt 6">
              <a:extLst>
                <a:ext uri="{FF2B5EF4-FFF2-40B4-BE49-F238E27FC236}">
                  <a16:creationId xmlns:a16="http://schemas.microsoft.com/office/drawing/2014/main" id="{672D17F7-C106-415C-8DD7-F6C27903BDEB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245" y="1253"/>
              <a:ext cx="7331" cy="378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9083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MEĐUNARODNI  AERODROM  TUZLA</a:t>
              </a:r>
            </a:p>
          </xdr:txBody>
        </xdr:sp>
        <xdr:sp macro="" textlink="">
          <xdr:nvSpPr>
            <xdr:cNvPr id="9" name="WordArt 7">
              <a:extLst>
                <a:ext uri="{FF2B5EF4-FFF2-40B4-BE49-F238E27FC236}">
                  <a16:creationId xmlns:a16="http://schemas.microsoft.com/office/drawing/2014/main" id="{DA44EBAA-38F0-4DE3-AA08-B9B6E1C80B2C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1971" y="1236"/>
              <a:ext cx="378" cy="222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38625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4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JP</a:t>
              </a:r>
            </a:p>
          </xdr:txBody>
        </xdr:sp>
        <xdr:sp macro="" textlink="">
          <xdr:nvSpPr>
            <xdr:cNvPr id="10" name="WordArt 8">
              <a:extLst>
                <a:ext uri="{FF2B5EF4-FFF2-40B4-BE49-F238E27FC236}">
                  <a16:creationId xmlns:a16="http://schemas.microsoft.com/office/drawing/2014/main" id="{1ED50A6D-70DB-4886-B713-EC2DE5A24A2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9561" y="1375"/>
              <a:ext cx="654" cy="245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1745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d.o.o.</a:t>
              </a:r>
            </a:p>
          </xdr:txBody>
        </xdr:sp>
      </xdr:grpSp>
      <xdr:grpSp>
        <xdr:nvGrpSpPr>
          <xdr:cNvPr id="4" name="Group 9">
            <a:extLst>
              <a:ext uri="{FF2B5EF4-FFF2-40B4-BE49-F238E27FC236}">
                <a16:creationId xmlns:a16="http://schemas.microsoft.com/office/drawing/2014/main" id="{735CE334-DE3D-442E-A3D0-5890807126B9}"/>
              </a:ext>
            </a:extLst>
          </xdr:cNvPr>
          <xdr:cNvGrpSpPr>
            <a:grpSpLocks/>
          </xdr:cNvGrpSpPr>
        </xdr:nvGrpSpPr>
        <xdr:grpSpPr bwMode="auto">
          <a:xfrm>
            <a:off x="911" y="2076"/>
            <a:ext cx="782" cy="938"/>
            <a:chOff x="1549" y="1680"/>
            <a:chExt cx="782" cy="938"/>
          </a:xfrm>
        </xdr:grpSpPr>
        <xdr:sp macro="" textlink="">
          <xdr:nvSpPr>
            <xdr:cNvPr id="5" name="Freeform 10">
              <a:extLst>
                <a:ext uri="{FF2B5EF4-FFF2-40B4-BE49-F238E27FC236}">
                  <a16:creationId xmlns:a16="http://schemas.microsoft.com/office/drawing/2014/main" id="{797404A3-AC7A-4B4E-B98C-129BDD3860F7}"/>
                </a:ext>
              </a:extLst>
            </xdr:cNvPr>
            <xdr:cNvSpPr>
              <a:spLocks/>
            </xdr:cNvSpPr>
          </xdr:nvSpPr>
          <xdr:spPr bwMode="auto">
            <a:xfrm>
              <a:off x="1549" y="1680"/>
              <a:ext cx="782" cy="938"/>
            </a:xfrm>
            <a:custGeom>
              <a:avLst/>
              <a:gdLst>
                <a:gd name="T0" fmla="*/ 0 w 782"/>
                <a:gd name="T1" fmla="*/ 938 h 938"/>
                <a:gd name="T2" fmla="*/ 645 w 782"/>
                <a:gd name="T3" fmla="*/ 938 h 938"/>
                <a:gd name="T4" fmla="*/ 782 w 782"/>
                <a:gd name="T5" fmla="*/ 0 h 938"/>
                <a:gd name="T6" fmla="*/ 0 w 782"/>
                <a:gd name="T7" fmla="*/ 938 h 93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2" h="938">
                  <a:moveTo>
                    <a:pt x="0" y="938"/>
                  </a:moveTo>
                  <a:lnTo>
                    <a:pt x="645" y="938"/>
                  </a:lnTo>
                  <a:lnTo>
                    <a:pt x="782" y="0"/>
                  </a:lnTo>
                  <a:lnTo>
                    <a:pt x="0" y="938"/>
                  </a:lnTo>
                  <a:close/>
                </a:path>
              </a:pathLst>
            </a:custGeom>
            <a:solidFill>
              <a:srgbClr val="0000FF"/>
            </a:solidFill>
            <a:ln w="635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" name="Freeform 11">
              <a:extLst>
                <a:ext uri="{FF2B5EF4-FFF2-40B4-BE49-F238E27FC236}">
                  <a16:creationId xmlns:a16="http://schemas.microsoft.com/office/drawing/2014/main" id="{CA501112-A7BE-4142-B205-D452710B7810}"/>
                </a:ext>
              </a:extLst>
            </xdr:cNvPr>
            <xdr:cNvSpPr>
              <a:spLocks/>
            </xdr:cNvSpPr>
          </xdr:nvSpPr>
          <xdr:spPr bwMode="auto">
            <a:xfrm>
              <a:off x="1549" y="2266"/>
              <a:ext cx="644" cy="352"/>
            </a:xfrm>
            <a:custGeom>
              <a:avLst/>
              <a:gdLst>
                <a:gd name="T0" fmla="*/ 0 w 644"/>
                <a:gd name="T1" fmla="*/ 352 h 352"/>
                <a:gd name="T2" fmla="*/ 644 w 644"/>
                <a:gd name="T3" fmla="*/ 352 h 352"/>
                <a:gd name="T4" fmla="*/ 540 w 644"/>
                <a:gd name="T5" fmla="*/ 0 h 352"/>
                <a:gd name="T6" fmla="*/ 0 w 644"/>
                <a:gd name="T7" fmla="*/ 352 h 3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44" h="352">
                  <a:moveTo>
                    <a:pt x="0" y="352"/>
                  </a:moveTo>
                  <a:lnTo>
                    <a:pt x="644" y="352"/>
                  </a:lnTo>
                  <a:lnTo>
                    <a:pt x="540" y="0"/>
                  </a:lnTo>
                  <a:lnTo>
                    <a:pt x="0" y="352"/>
                  </a:lnTo>
                  <a:close/>
                </a:path>
              </a:pathLst>
            </a:custGeom>
            <a:solidFill>
              <a:srgbClr val="FFFF00"/>
            </a:solidFill>
            <a:ln w="6350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84664</xdr:rowOff>
    </xdr:from>
    <xdr:to>
      <xdr:col>9</xdr:col>
      <xdr:colOff>533400</xdr:colOff>
      <xdr:row>3</xdr:row>
      <xdr:rowOff>111123</xdr:rowOff>
    </xdr:to>
    <xdr:grpSp>
      <xdr:nvGrpSpPr>
        <xdr:cNvPr id="2" name="Group 3">
          <a:extLst>
            <a:ext uri="{FF2B5EF4-FFF2-40B4-BE49-F238E27FC236}">
              <a16:creationId xmlns:a16="http://schemas.microsoft.com/office/drawing/2014/main" id="{25229B50-3EEE-4544-9B45-42B90F9C225A}"/>
            </a:ext>
          </a:extLst>
        </xdr:cNvPr>
        <xdr:cNvGrpSpPr>
          <a:grpSpLocks/>
        </xdr:cNvGrpSpPr>
      </xdr:nvGrpSpPr>
      <xdr:grpSpPr bwMode="auto">
        <a:xfrm>
          <a:off x="0" y="84664"/>
          <a:ext cx="6057900" cy="597959"/>
          <a:chOff x="911" y="2076"/>
          <a:chExt cx="9074" cy="938"/>
        </a:xfrm>
      </xdr:grpSpPr>
      <xdr:grpSp>
        <xdr:nvGrpSpPr>
          <xdr:cNvPr id="3" name="Group 4">
            <a:extLst>
              <a:ext uri="{FF2B5EF4-FFF2-40B4-BE49-F238E27FC236}">
                <a16:creationId xmlns:a16="http://schemas.microsoft.com/office/drawing/2014/main" id="{28312CA3-EF95-4B49-AF31-7B5050DCBCE9}"/>
              </a:ext>
            </a:extLst>
          </xdr:cNvPr>
          <xdr:cNvGrpSpPr>
            <a:grpSpLocks/>
          </xdr:cNvGrpSpPr>
        </xdr:nvGrpSpPr>
        <xdr:grpSpPr bwMode="auto">
          <a:xfrm>
            <a:off x="1738" y="2124"/>
            <a:ext cx="8247" cy="889"/>
            <a:chOff x="1971" y="742"/>
            <a:chExt cx="8247" cy="889"/>
          </a:xfrm>
        </xdr:grpSpPr>
        <xdr:sp macro="" textlink="">
          <xdr:nvSpPr>
            <xdr:cNvPr id="7" name="WordArt 5">
              <a:extLst>
                <a:ext uri="{FF2B5EF4-FFF2-40B4-BE49-F238E27FC236}">
                  <a16:creationId xmlns:a16="http://schemas.microsoft.com/office/drawing/2014/main" id="{9D75B0D1-96D5-4755-85A2-DAB7BE9ECB68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042" y="742"/>
              <a:ext cx="8176" cy="378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9083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>
                    <a:noFill/>
                  </a:ln>
                  <a:solidFill>
                    <a:srgbClr val="0000FF"/>
                  </a:solidFill>
                  <a:effectLst/>
                  <a:latin typeface="Arial"/>
                  <a:cs typeface="Arial"/>
                </a:rPr>
                <a:t>TUZLA  INTERNATIONAL  AIRPORT</a:t>
              </a:r>
            </a:p>
          </xdr:txBody>
        </xdr:sp>
        <xdr:sp macro="" textlink="">
          <xdr:nvSpPr>
            <xdr:cNvPr id="8" name="WordArt 6">
              <a:extLst>
                <a:ext uri="{FF2B5EF4-FFF2-40B4-BE49-F238E27FC236}">
                  <a16:creationId xmlns:a16="http://schemas.microsoft.com/office/drawing/2014/main" id="{6EE8F968-CF0C-40A2-A9F0-6A2B1943AB49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245" y="1253"/>
              <a:ext cx="7331" cy="378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9083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MEĐUNARODNI  AERODROM  TUZLA</a:t>
              </a:r>
            </a:p>
          </xdr:txBody>
        </xdr:sp>
        <xdr:sp macro="" textlink="">
          <xdr:nvSpPr>
            <xdr:cNvPr id="9" name="WordArt 7">
              <a:extLst>
                <a:ext uri="{FF2B5EF4-FFF2-40B4-BE49-F238E27FC236}">
                  <a16:creationId xmlns:a16="http://schemas.microsoft.com/office/drawing/2014/main" id="{5254BE60-5C1F-4E84-A4A0-B5971F420C0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1971" y="1236"/>
              <a:ext cx="378" cy="222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38625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4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JP</a:t>
              </a:r>
            </a:p>
          </xdr:txBody>
        </xdr:sp>
        <xdr:sp macro="" textlink="">
          <xdr:nvSpPr>
            <xdr:cNvPr id="10" name="WordArt 8">
              <a:extLst>
                <a:ext uri="{FF2B5EF4-FFF2-40B4-BE49-F238E27FC236}">
                  <a16:creationId xmlns:a16="http://schemas.microsoft.com/office/drawing/2014/main" id="{7241EC84-27DC-4E57-A73B-36A40C80FFB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9561" y="1375"/>
              <a:ext cx="654" cy="245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1745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d.o.o.</a:t>
              </a:r>
            </a:p>
          </xdr:txBody>
        </xdr:sp>
      </xdr:grpSp>
      <xdr:grpSp>
        <xdr:nvGrpSpPr>
          <xdr:cNvPr id="4" name="Group 9">
            <a:extLst>
              <a:ext uri="{FF2B5EF4-FFF2-40B4-BE49-F238E27FC236}">
                <a16:creationId xmlns:a16="http://schemas.microsoft.com/office/drawing/2014/main" id="{EFCB0F94-F00F-47CD-A7ED-89578FFEA7AF}"/>
              </a:ext>
            </a:extLst>
          </xdr:cNvPr>
          <xdr:cNvGrpSpPr>
            <a:grpSpLocks/>
          </xdr:cNvGrpSpPr>
        </xdr:nvGrpSpPr>
        <xdr:grpSpPr bwMode="auto">
          <a:xfrm>
            <a:off x="911" y="2076"/>
            <a:ext cx="782" cy="938"/>
            <a:chOff x="1549" y="1680"/>
            <a:chExt cx="782" cy="938"/>
          </a:xfrm>
        </xdr:grpSpPr>
        <xdr:sp macro="" textlink="">
          <xdr:nvSpPr>
            <xdr:cNvPr id="5" name="Freeform 10">
              <a:extLst>
                <a:ext uri="{FF2B5EF4-FFF2-40B4-BE49-F238E27FC236}">
                  <a16:creationId xmlns:a16="http://schemas.microsoft.com/office/drawing/2014/main" id="{208ED7EA-4A21-4537-BCE0-ED4704B7848B}"/>
                </a:ext>
              </a:extLst>
            </xdr:cNvPr>
            <xdr:cNvSpPr>
              <a:spLocks/>
            </xdr:cNvSpPr>
          </xdr:nvSpPr>
          <xdr:spPr bwMode="auto">
            <a:xfrm>
              <a:off x="1549" y="1680"/>
              <a:ext cx="782" cy="938"/>
            </a:xfrm>
            <a:custGeom>
              <a:avLst/>
              <a:gdLst>
                <a:gd name="T0" fmla="*/ 0 w 782"/>
                <a:gd name="T1" fmla="*/ 938 h 938"/>
                <a:gd name="T2" fmla="*/ 645 w 782"/>
                <a:gd name="T3" fmla="*/ 938 h 938"/>
                <a:gd name="T4" fmla="*/ 782 w 782"/>
                <a:gd name="T5" fmla="*/ 0 h 938"/>
                <a:gd name="T6" fmla="*/ 0 w 782"/>
                <a:gd name="T7" fmla="*/ 938 h 93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2" h="938">
                  <a:moveTo>
                    <a:pt x="0" y="938"/>
                  </a:moveTo>
                  <a:lnTo>
                    <a:pt x="645" y="938"/>
                  </a:lnTo>
                  <a:lnTo>
                    <a:pt x="782" y="0"/>
                  </a:lnTo>
                  <a:lnTo>
                    <a:pt x="0" y="938"/>
                  </a:lnTo>
                  <a:close/>
                </a:path>
              </a:pathLst>
            </a:custGeom>
            <a:solidFill>
              <a:srgbClr val="0000FF"/>
            </a:solidFill>
            <a:ln w="635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" name="Freeform 11">
              <a:extLst>
                <a:ext uri="{FF2B5EF4-FFF2-40B4-BE49-F238E27FC236}">
                  <a16:creationId xmlns:a16="http://schemas.microsoft.com/office/drawing/2014/main" id="{CBEF007A-B7ED-4352-8BF0-AF8F550E2704}"/>
                </a:ext>
              </a:extLst>
            </xdr:cNvPr>
            <xdr:cNvSpPr>
              <a:spLocks/>
            </xdr:cNvSpPr>
          </xdr:nvSpPr>
          <xdr:spPr bwMode="auto">
            <a:xfrm>
              <a:off x="1549" y="2266"/>
              <a:ext cx="644" cy="352"/>
            </a:xfrm>
            <a:custGeom>
              <a:avLst/>
              <a:gdLst>
                <a:gd name="T0" fmla="*/ 0 w 644"/>
                <a:gd name="T1" fmla="*/ 352 h 352"/>
                <a:gd name="T2" fmla="*/ 644 w 644"/>
                <a:gd name="T3" fmla="*/ 352 h 352"/>
                <a:gd name="T4" fmla="*/ 540 w 644"/>
                <a:gd name="T5" fmla="*/ 0 h 352"/>
                <a:gd name="T6" fmla="*/ 0 w 644"/>
                <a:gd name="T7" fmla="*/ 352 h 3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44" h="352">
                  <a:moveTo>
                    <a:pt x="0" y="352"/>
                  </a:moveTo>
                  <a:lnTo>
                    <a:pt x="644" y="352"/>
                  </a:lnTo>
                  <a:lnTo>
                    <a:pt x="540" y="0"/>
                  </a:lnTo>
                  <a:lnTo>
                    <a:pt x="0" y="352"/>
                  </a:lnTo>
                  <a:close/>
                </a:path>
              </a:pathLst>
            </a:custGeom>
            <a:solidFill>
              <a:srgbClr val="FFFF00"/>
            </a:solidFill>
            <a:ln w="6350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0</xdr:row>
      <xdr:rowOff>1</xdr:rowOff>
    </xdr:from>
    <xdr:to>
      <xdr:col>10</xdr:col>
      <xdr:colOff>0</xdr:colOff>
      <xdr:row>3</xdr:row>
      <xdr:rowOff>26460</xdr:rowOff>
    </xdr:to>
    <xdr:grpSp>
      <xdr:nvGrpSpPr>
        <xdr:cNvPr id="11" name="Group 3">
          <a:extLst>
            <a:ext uri="{FF2B5EF4-FFF2-40B4-BE49-F238E27FC236}">
              <a16:creationId xmlns:a16="http://schemas.microsoft.com/office/drawing/2014/main" id="{78614327-D6EA-4743-BEC5-5911E849D5A2}"/>
            </a:ext>
          </a:extLst>
        </xdr:cNvPr>
        <xdr:cNvGrpSpPr>
          <a:grpSpLocks/>
        </xdr:cNvGrpSpPr>
      </xdr:nvGrpSpPr>
      <xdr:grpSpPr bwMode="auto">
        <a:xfrm>
          <a:off x="6138333" y="1"/>
          <a:ext cx="0" cy="597959"/>
          <a:chOff x="911" y="2076"/>
          <a:chExt cx="9074" cy="938"/>
        </a:xfrm>
      </xdr:grpSpPr>
      <xdr:grpSp>
        <xdr:nvGrpSpPr>
          <xdr:cNvPr id="12" name="Group 4">
            <a:extLst>
              <a:ext uri="{FF2B5EF4-FFF2-40B4-BE49-F238E27FC236}">
                <a16:creationId xmlns:a16="http://schemas.microsoft.com/office/drawing/2014/main" id="{582AFEDB-603F-4F0E-8EDC-1CF1FBFB03B3}"/>
              </a:ext>
            </a:extLst>
          </xdr:cNvPr>
          <xdr:cNvGrpSpPr>
            <a:grpSpLocks/>
          </xdr:cNvGrpSpPr>
        </xdr:nvGrpSpPr>
        <xdr:grpSpPr bwMode="auto">
          <a:xfrm>
            <a:off x="1738" y="2124"/>
            <a:ext cx="8247" cy="889"/>
            <a:chOff x="1971" y="742"/>
            <a:chExt cx="8247" cy="889"/>
          </a:xfrm>
        </xdr:grpSpPr>
        <xdr:sp macro="" textlink="">
          <xdr:nvSpPr>
            <xdr:cNvPr id="16" name="WordArt 5">
              <a:extLst>
                <a:ext uri="{FF2B5EF4-FFF2-40B4-BE49-F238E27FC236}">
                  <a16:creationId xmlns:a16="http://schemas.microsoft.com/office/drawing/2014/main" id="{034DF94F-97DA-45EC-A6B4-DA02398C2F51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042" y="742"/>
              <a:ext cx="8176" cy="378"/>
            </a:xfrm>
            <a:prstGeom prst="rect">
              <a:avLst/>
            </a:prstGeom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9083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>
                    <a:noFill/>
                  </a:ln>
                  <a:solidFill>
                    <a:srgbClr val="0000FF"/>
                  </a:solidFill>
                  <a:effectLst/>
                  <a:latin typeface="Arial"/>
                  <a:cs typeface="Arial"/>
                </a:rPr>
                <a:t>TUZLA  INTERNATIONAL  AIRPORT</a:t>
              </a:r>
            </a:p>
          </xdr:txBody>
        </xdr:sp>
        <xdr:sp macro="" textlink="">
          <xdr:nvSpPr>
            <xdr:cNvPr id="17" name="WordArt 6">
              <a:extLst>
                <a:ext uri="{FF2B5EF4-FFF2-40B4-BE49-F238E27FC236}">
                  <a16:creationId xmlns:a16="http://schemas.microsoft.com/office/drawing/2014/main" id="{DFF4FDD9-34B3-4FC4-ABEB-1EC951C5AA93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2245" y="1253"/>
              <a:ext cx="7331" cy="378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9083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MEĐUNARODNI  AERODROM  TUZLA</a:t>
              </a:r>
            </a:p>
          </xdr:txBody>
        </xdr:sp>
        <xdr:sp macro="" textlink="">
          <xdr:nvSpPr>
            <xdr:cNvPr id="18" name="WordArt 7">
              <a:extLst>
                <a:ext uri="{FF2B5EF4-FFF2-40B4-BE49-F238E27FC236}">
                  <a16:creationId xmlns:a16="http://schemas.microsoft.com/office/drawing/2014/main" id="{FF354054-6506-46B6-8DA0-E06EBBA14C97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1971" y="1236"/>
              <a:ext cx="378" cy="222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38625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4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JP</a:t>
              </a:r>
            </a:p>
          </xdr:txBody>
        </xdr:sp>
        <xdr:sp macro="" textlink="">
          <xdr:nvSpPr>
            <xdr:cNvPr id="19" name="WordArt 8">
              <a:extLst>
                <a:ext uri="{FF2B5EF4-FFF2-40B4-BE49-F238E27FC236}">
                  <a16:creationId xmlns:a16="http://schemas.microsoft.com/office/drawing/2014/main" id="{9357D6B0-3948-4CE8-8F44-D7B2F805DFC5}"/>
                </a:ext>
              </a:extLst>
            </xdr:cNvPr>
            <xdr:cNvSpPr>
              <a:spLocks noChangeArrowheads="1" noChangeShapeType="1" noTextEdit="1"/>
            </xdr:cNvSpPr>
          </xdr:nvSpPr>
          <xdr:spPr bwMode="auto">
            <a:xfrm>
              <a:off x="9561" y="1375"/>
              <a:ext cx="654" cy="245"/>
            </a:xfrm>
            <a:prstGeom prst="rect">
              <a:avLst/>
            </a:prstGeom>
            <a:extLst>
              <a:ext uri="{AF507438-7753-43E0-B8FC-AC1667EBCBE1}">
                <a14:hiddenEffects xmlns:a14="http://schemas.microsoft.com/office/drawing/2010/main">
                  <a:effectLst/>
                </a14:hiddenEffects>
              </a:ext>
            </a:extLst>
          </xdr:spPr>
          <xdr:txBody>
            <a:bodyPr wrap="none" fromWordArt="1">
              <a:prstTxWarp prst="textPlain">
                <a:avLst>
                  <a:gd name="adj" fmla="val 41745"/>
                </a:avLst>
              </a:prstTxWarp>
            </a:bodyPr>
            <a:lstStyle/>
            <a:p>
              <a:pPr algn="ctr" rtl="0">
                <a:buNone/>
              </a:pPr>
              <a:r>
                <a:rPr lang="bs-Latn-BA" sz="1800" b="1" i="1" kern="10" spc="0">
                  <a:ln w="9525">
                    <a:solidFill>
                      <a:srgbClr val="0000FF"/>
                    </a:solidFill>
                    <a:round/>
                    <a:headEnd/>
                    <a:tailEnd/>
                  </a:ln>
                  <a:solidFill>
                    <a:srgbClr val="FFFFFF"/>
                  </a:solidFill>
                  <a:effectLst/>
                  <a:latin typeface="Arial"/>
                  <a:cs typeface="Arial"/>
                </a:rPr>
                <a:t>d.o.o.</a:t>
              </a:r>
            </a:p>
          </xdr:txBody>
        </xdr:sp>
      </xdr:grpSp>
      <xdr:grpSp>
        <xdr:nvGrpSpPr>
          <xdr:cNvPr id="13" name="Group 9">
            <a:extLst>
              <a:ext uri="{FF2B5EF4-FFF2-40B4-BE49-F238E27FC236}">
                <a16:creationId xmlns:a16="http://schemas.microsoft.com/office/drawing/2014/main" id="{A7A23299-1D17-4C1D-9155-30DA3F9C8B8B}"/>
              </a:ext>
            </a:extLst>
          </xdr:cNvPr>
          <xdr:cNvGrpSpPr>
            <a:grpSpLocks/>
          </xdr:cNvGrpSpPr>
        </xdr:nvGrpSpPr>
        <xdr:grpSpPr bwMode="auto">
          <a:xfrm>
            <a:off x="911" y="2076"/>
            <a:ext cx="782" cy="938"/>
            <a:chOff x="1549" y="1680"/>
            <a:chExt cx="782" cy="938"/>
          </a:xfrm>
        </xdr:grpSpPr>
        <xdr:sp macro="" textlink="">
          <xdr:nvSpPr>
            <xdr:cNvPr id="14" name="Freeform 10">
              <a:extLst>
                <a:ext uri="{FF2B5EF4-FFF2-40B4-BE49-F238E27FC236}">
                  <a16:creationId xmlns:a16="http://schemas.microsoft.com/office/drawing/2014/main" id="{1A856CD4-993F-43DF-80AF-4460B2EE8999}"/>
                </a:ext>
              </a:extLst>
            </xdr:cNvPr>
            <xdr:cNvSpPr>
              <a:spLocks/>
            </xdr:cNvSpPr>
          </xdr:nvSpPr>
          <xdr:spPr bwMode="auto">
            <a:xfrm>
              <a:off x="1549" y="1680"/>
              <a:ext cx="782" cy="938"/>
            </a:xfrm>
            <a:custGeom>
              <a:avLst/>
              <a:gdLst>
                <a:gd name="T0" fmla="*/ 0 w 782"/>
                <a:gd name="T1" fmla="*/ 938 h 938"/>
                <a:gd name="T2" fmla="*/ 645 w 782"/>
                <a:gd name="T3" fmla="*/ 938 h 938"/>
                <a:gd name="T4" fmla="*/ 782 w 782"/>
                <a:gd name="T5" fmla="*/ 0 h 938"/>
                <a:gd name="T6" fmla="*/ 0 w 782"/>
                <a:gd name="T7" fmla="*/ 938 h 93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82" h="938">
                  <a:moveTo>
                    <a:pt x="0" y="938"/>
                  </a:moveTo>
                  <a:lnTo>
                    <a:pt x="645" y="938"/>
                  </a:lnTo>
                  <a:lnTo>
                    <a:pt x="782" y="0"/>
                  </a:lnTo>
                  <a:lnTo>
                    <a:pt x="0" y="938"/>
                  </a:lnTo>
                  <a:close/>
                </a:path>
              </a:pathLst>
            </a:custGeom>
            <a:solidFill>
              <a:srgbClr val="0000FF"/>
            </a:solidFill>
            <a:ln w="635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5" name="Freeform 11">
              <a:extLst>
                <a:ext uri="{FF2B5EF4-FFF2-40B4-BE49-F238E27FC236}">
                  <a16:creationId xmlns:a16="http://schemas.microsoft.com/office/drawing/2014/main" id="{E4B67F75-43C4-4D78-AC2A-2A7A8431BFD3}"/>
                </a:ext>
              </a:extLst>
            </xdr:cNvPr>
            <xdr:cNvSpPr>
              <a:spLocks/>
            </xdr:cNvSpPr>
          </xdr:nvSpPr>
          <xdr:spPr bwMode="auto">
            <a:xfrm>
              <a:off x="1549" y="2266"/>
              <a:ext cx="644" cy="352"/>
            </a:xfrm>
            <a:custGeom>
              <a:avLst/>
              <a:gdLst>
                <a:gd name="T0" fmla="*/ 0 w 644"/>
                <a:gd name="T1" fmla="*/ 352 h 352"/>
                <a:gd name="T2" fmla="*/ 644 w 644"/>
                <a:gd name="T3" fmla="*/ 352 h 352"/>
                <a:gd name="T4" fmla="*/ 540 w 644"/>
                <a:gd name="T5" fmla="*/ 0 h 352"/>
                <a:gd name="T6" fmla="*/ 0 w 644"/>
                <a:gd name="T7" fmla="*/ 352 h 3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44" h="352">
                  <a:moveTo>
                    <a:pt x="0" y="352"/>
                  </a:moveTo>
                  <a:lnTo>
                    <a:pt x="644" y="352"/>
                  </a:lnTo>
                  <a:lnTo>
                    <a:pt x="540" y="0"/>
                  </a:lnTo>
                  <a:lnTo>
                    <a:pt x="0" y="352"/>
                  </a:lnTo>
                  <a:close/>
                </a:path>
              </a:pathLst>
            </a:custGeom>
            <a:solidFill>
              <a:srgbClr val="FFFF00"/>
            </a:solidFill>
            <a:ln w="6350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D43"/>
  <sheetViews>
    <sheetView tabSelected="1" zoomScale="90" zoomScaleNormal="90" workbookViewId="0">
      <selection activeCell="S19" sqref="S19"/>
    </sheetView>
  </sheetViews>
  <sheetFormatPr defaultRowHeight="15" x14ac:dyDescent="0.25"/>
  <cols>
    <col min="1" max="1" width="10.140625" style="1" customWidth="1"/>
    <col min="2" max="2" width="14.85546875" style="1" customWidth="1"/>
    <col min="3" max="3" width="13" style="1" customWidth="1"/>
    <col min="4" max="4" width="1.42578125" style="1" customWidth="1"/>
    <col min="5" max="5" width="5.5703125" style="1" bestFit="1" customWidth="1"/>
    <col min="6" max="6" width="4.5703125" style="1" customWidth="1"/>
    <col min="7" max="7" width="5.5703125" style="1" bestFit="1" customWidth="1"/>
    <col min="8" max="8" width="4.5703125" style="1" customWidth="1"/>
    <col min="9" max="9" width="2.7109375" style="1" customWidth="1"/>
    <col min="10" max="10" width="5.5703125" style="1" bestFit="1" customWidth="1"/>
    <col min="11" max="11" width="4.140625" style="1" customWidth="1"/>
    <col min="12" max="12" width="5.5703125" style="1" bestFit="1" customWidth="1"/>
    <col min="13" max="13" width="5.140625" style="1" customWidth="1"/>
    <col min="14" max="14" width="2.5703125" style="1" customWidth="1"/>
    <col min="15" max="15" width="5.5703125" style="1" bestFit="1" customWidth="1"/>
    <col min="16" max="16" width="4.5703125" style="1" customWidth="1"/>
    <col min="17" max="17" width="5.5703125" style="1" bestFit="1" customWidth="1"/>
    <col min="18" max="18" width="4.5703125" style="1" customWidth="1"/>
    <col min="19" max="19" width="2.7109375" style="1" customWidth="1"/>
    <col min="20" max="20" width="5.5703125" style="1" bestFit="1" customWidth="1"/>
    <col min="21" max="21" width="4.5703125" style="1" customWidth="1"/>
    <col min="22" max="22" width="5.85546875" style="1" bestFit="1" customWidth="1"/>
    <col min="23" max="23" width="5" style="1" customWidth="1"/>
    <col min="24" max="24" width="2.7109375" style="1" customWidth="1"/>
    <col min="25" max="25" width="5.5703125" style="1" bestFit="1" customWidth="1"/>
    <col min="26" max="26" width="4.5703125" style="1" customWidth="1"/>
    <col min="27" max="27" width="5.5703125" style="1" bestFit="1" customWidth="1"/>
    <col min="28" max="28" width="5" style="1" customWidth="1"/>
    <col min="29" max="29" width="2.7109375" style="1" customWidth="1"/>
    <col min="30" max="30" width="7.140625" style="1" customWidth="1"/>
    <col min="31" max="31" width="4" style="1" customWidth="1"/>
    <col min="32" max="32" width="7.140625" style="1" customWidth="1"/>
    <col min="33" max="33" width="3.140625" style="1" customWidth="1"/>
    <col min="34" max="34" width="2.7109375" style="1" customWidth="1"/>
    <col min="35" max="35" width="5.7109375" style="1" customWidth="1"/>
    <col min="36" max="36" width="4.5703125" style="1" customWidth="1"/>
    <col min="37" max="37" width="5.5703125" style="1" customWidth="1"/>
    <col min="38" max="38" width="4.5703125" style="1" customWidth="1"/>
    <col min="39" max="39" width="2.7109375" style="1" customWidth="1"/>
    <col min="40" max="40" width="5.5703125" style="1" customWidth="1"/>
    <col min="41" max="41" width="4.42578125" style="1" customWidth="1"/>
    <col min="42" max="42" width="6.42578125" style="1" customWidth="1"/>
    <col min="43" max="43" width="4.5703125" style="1" customWidth="1"/>
    <col min="44" max="44" width="2.7109375" style="1" customWidth="1"/>
    <col min="45" max="45" width="2.28515625" style="1" customWidth="1"/>
    <col min="46" max="46" width="2.5703125" style="1" customWidth="1"/>
    <col min="47" max="48" width="9.140625" style="1"/>
    <col min="49" max="49" width="4.28515625" style="1" customWidth="1"/>
    <col min="50" max="50" width="10.7109375" style="1" bestFit="1" customWidth="1"/>
    <col min="51" max="51" width="9.85546875" style="1" bestFit="1" customWidth="1"/>
    <col min="52" max="52" width="10.140625" style="1" bestFit="1" customWidth="1"/>
    <col min="53" max="16384" width="9.140625" style="1"/>
  </cols>
  <sheetData>
    <row r="1" spans="2:53" ht="15.75" thickBot="1" x14ac:dyDescent="0.3">
      <c r="D1" s="7"/>
      <c r="E1" s="7"/>
      <c r="F1" s="7"/>
      <c r="G1" s="7"/>
      <c r="H1" s="7"/>
      <c r="I1" s="7"/>
      <c r="T1" s="7"/>
      <c r="U1" s="7"/>
      <c r="V1" s="30"/>
      <c r="W1" s="30"/>
      <c r="X1" s="7"/>
    </row>
    <row r="2" spans="2:53" ht="15.75" customHeight="1" thickBot="1" x14ac:dyDescent="0.3">
      <c r="B2" s="2"/>
      <c r="C2" s="2"/>
      <c r="D2" s="69"/>
      <c r="E2" s="224" t="s">
        <v>33</v>
      </c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6"/>
      <c r="S2" s="69"/>
      <c r="T2" s="220" t="s">
        <v>14</v>
      </c>
      <c r="U2" s="221"/>
      <c r="V2" s="221"/>
      <c r="W2" s="221"/>
      <c r="X2" s="221"/>
      <c r="Y2" s="221"/>
      <c r="Z2" s="221"/>
      <c r="AA2" s="221"/>
      <c r="AB2" s="221"/>
      <c r="AC2" s="222"/>
      <c r="AD2" s="222"/>
      <c r="AE2" s="222"/>
      <c r="AF2" s="222"/>
      <c r="AG2" s="223"/>
      <c r="AH2" s="66"/>
      <c r="AI2" s="208" t="s">
        <v>37</v>
      </c>
      <c r="AJ2" s="209"/>
      <c r="AK2" s="209"/>
      <c r="AL2" s="210"/>
      <c r="AM2" s="120"/>
      <c r="AN2" s="230" t="s">
        <v>41</v>
      </c>
      <c r="AO2" s="231"/>
      <c r="AP2" s="231"/>
      <c r="AQ2" s="232"/>
      <c r="AR2" s="120"/>
    </row>
    <row r="3" spans="2:53" ht="9" customHeight="1" thickBot="1" x14ac:dyDescent="0.3"/>
    <row r="4" spans="2:53" ht="16.5" thickBot="1" x14ac:dyDescent="0.3">
      <c r="D4" s="28"/>
      <c r="E4" s="211" t="s">
        <v>12</v>
      </c>
      <c r="F4" s="212"/>
      <c r="G4" s="212"/>
      <c r="H4" s="213"/>
      <c r="I4" s="28"/>
      <c r="J4" s="211" t="s">
        <v>11</v>
      </c>
      <c r="K4" s="212"/>
      <c r="L4" s="212"/>
      <c r="M4" s="213"/>
      <c r="N4" s="67"/>
      <c r="O4" s="211" t="s">
        <v>10</v>
      </c>
      <c r="P4" s="212"/>
      <c r="Q4" s="212"/>
      <c r="R4" s="213"/>
      <c r="S4" s="70"/>
      <c r="T4" s="214" t="s">
        <v>10</v>
      </c>
      <c r="U4" s="215"/>
      <c r="V4" s="215"/>
      <c r="W4" s="216"/>
      <c r="X4" s="70"/>
      <c r="Y4" s="214" t="s">
        <v>12</v>
      </c>
      <c r="Z4" s="215"/>
      <c r="AA4" s="215"/>
      <c r="AB4" s="216"/>
      <c r="AC4" s="67"/>
      <c r="AD4" s="214" t="s">
        <v>60</v>
      </c>
      <c r="AE4" s="215"/>
      <c r="AF4" s="215"/>
      <c r="AG4" s="216"/>
      <c r="AH4" s="67"/>
      <c r="AI4" s="208" t="s">
        <v>38</v>
      </c>
      <c r="AJ4" s="209"/>
      <c r="AK4" s="209"/>
      <c r="AL4" s="210"/>
      <c r="AM4" s="71"/>
      <c r="AN4" s="233" t="s">
        <v>38</v>
      </c>
      <c r="AO4" s="234"/>
      <c r="AP4" s="234"/>
      <c r="AQ4" s="235"/>
      <c r="AR4" s="71"/>
    </row>
    <row r="5" spans="2:53" ht="15.75" customHeight="1" thickBot="1" x14ac:dyDescent="0.3">
      <c r="B5" s="4" t="s">
        <v>0</v>
      </c>
      <c r="C5" s="4" t="s">
        <v>44</v>
      </c>
      <c r="D5" s="5"/>
      <c r="E5" s="219" t="s">
        <v>2</v>
      </c>
      <c r="F5" s="218"/>
      <c r="G5" s="219" t="s">
        <v>3</v>
      </c>
      <c r="H5" s="218"/>
      <c r="I5" s="5"/>
      <c r="J5" s="219" t="s">
        <v>2</v>
      </c>
      <c r="K5" s="218"/>
      <c r="L5" s="219" t="s">
        <v>3</v>
      </c>
      <c r="M5" s="218"/>
      <c r="N5" s="68"/>
      <c r="O5" s="219" t="s">
        <v>2</v>
      </c>
      <c r="P5" s="218"/>
      <c r="Q5" s="219" t="s">
        <v>3</v>
      </c>
      <c r="R5" s="218"/>
      <c r="S5" s="5"/>
      <c r="T5" s="219" t="s">
        <v>2</v>
      </c>
      <c r="U5" s="218"/>
      <c r="V5" s="217" t="s">
        <v>3</v>
      </c>
      <c r="W5" s="218"/>
      <c r="X5" s="5"/>
      <c r="Y5" s="219" t="s">
        <v>2</v>
      </c>
      <c r="Z5" s="218"/>
      <c r="AA5" s="219" t="s">
        <v>3</v>
      </c>
      <c r="AB5" s="218"/>
      <c r="AC5" s="68"/>
      <c r="AD5" s="219" t="s">
        <v>2</v>
      </c>
      <c r="AE5" s="218"/>
      <c r="AF5" s="219" t="s">
        <v>3</v>
      </c>
      <c r="AG5" s="218"/>
      <c r="AH5" s="68"/>
      <c r="AI5" s="219" t="s">
        <v>2</v>
      </c>
      <c r="AJ5" s="218"/>
      <c r="AK5" s="219" t="s">
        <v>3</v>
      </c>
      <c r="AL5" s="218"/>
      <c r="AN5" s="219" t="s">
        <v>2</v>
      </c>
      <c r="AO5" s="218"/>
      <c r="AP5" s="219" t="s">
        <v>3</v>
      </c>
      <c r="AQ5" s="218"/>
    </row>
    <row r="6" spans="2:53" x14ac:dyDescent="0.25">
      <c r="B6" s="145">
        <v>45931</v>
      </c>
      <c r="C6" s="146" t="s">
        <v>58</v>
      </c>
      <c r="D6" s="27"/>
      <c r="E6" s="85"/>
      <c r="F6" s="49"/>
      <c r="G6" s="85"/>
      <c r="H6" s="49"/>
      <c r="I6" s="27"/>
      <c r="J6" s="85">
        <v>82</v>
      </c>
      <c r="K6" s="49">
        <v>0</v>
      </c>
      <c r="L6" s="13">
        <v>180</v>
      </c>
      <c r="M6" s="14">
        <v>2</v>
      </c>
      <c r="N6" s="27"/>
      <c r="O6" s="13"/>
      <c r="P6" s="14"/>
      <c r="Q6" s="13"/>
      <c r="R6" s="14"/>
      <c r="S6" s="27"/>
      <c r="T6" s="13">
        <v>151</v>
      </c>
      <c r="U6" s="14">
        <v>1</v>
      </c>
      <c r="V6" s="186">
        <v>170</v>
      </c>
      <c r="W6" s="14">
        <v>5</v>
      </c>
      <c r="X6" s="27"/>
      <c r="Y6" s="13">
        <v>161</v>
      </c>
      <c r="Z6" s="14">
        <v>2</v>
      </c>
      <c r="AA6" s="13">
        <v>170</v>
      </c>
      <c r="AB6" s="14">
        <v>4</v>
      </c>
      <c r="AC6" s="27"/>
      <c r="AD6" s="85">
        <v>129</v>
      </c>
      <c r="AE6" s="49">
        <v>2</v>
      </c>
      <c r="AF6" s="85">
        <v>158</v>
      </c>
      <c r="AG6" s="49">
        <v>1</v>
      </c>
      <c r="AH6" s="27"/>
      <c r="AI6" s="13"/>
      <c r="AJ6" s="14"/>
      <c r="AK6" s="13"/>
      <c r="AL6" s="14"/>
      <c r="AM6" s="7"/>
      <c r="AN6" s="13"/>
      <c r="AO6" s="14"/>
      <c r="AP6" s="13"/>
      <c r="AQ6" s="14"/>
    </row>
    <row r="7" spans="2:53" x14ac:dyDescent="0.25">
      <c r="B7" s="145">
        <v>45932</v>
      </c>
      <c r="C7" s="146" t="s">
        <v>59</v>
      </c>
      <c r="D7" s="27"/>
      <c r="E7" s="13"/>
      <c r="F7" s="14"/>
      <c r="G7" s="13"/>
      <c r="H7" s="14"/>
      <c r="I7" s="27"/>
      <c r="J7" s="13"/>
      <c r="K7" s="14"/>
      <c r="L7" s="13"/>
      <c r="M7" s="14"/>
      <c r="N7" s="27"/>
      <c r="O7" s="13">
        <v>205</v>
      </c>
      <c r="P7" s="14">
        <v>5</v>
      </c>
      <c r="Q7" s="13">
        <v>229</v>
      </c>
      <c r="R7" s="14">
        <v>5</v>
      </c>
      <c r="S7" s="27"/>
      <c r="T7" s="13"/>
      <c r="U7" s="14"/>
      <c r="V7" s="186"/>
      <c r="W7" s="14"/>
      <c r="X7" s="27"/>
      <c r="Y7" s="13"/>
      <c r="Z7" s="14"/>
      <c r="AA7" s="13"/>
      <c r="AB7" s="14"/>
      <c r="AC7" s="27"/>
      <c r="AD7" s="13"/>
      <c r="AE7" s="14"/>
      <c r="AF7" s="13"/>
      <c r="AG7" s="14"/>
      <c r="AH7" s="27"/>
      <c r="AI7" s="13"/>
      <c r="AJ7" s="14"/>
      <c r="AK7" s="13"/>
      <c r="AL7" s="14"/>
      <c r="AM7" s="7"/>
      <c r="AN7" s="13"/>
      <c r="AO7" s="14"/>
      <c r="AP7" s="13"/>
      <c r="AQ7" s="14"/>
      <c r="AX7" s="1" t="s">
        <v>49</v>
      </c>
      <c r="AY7" s="1" t="s">
        <v>50</v>
      </c>
      <c r="AZ7" s="1" t="s">
        <v>51</v>
      </c>
      <c r="BA7" s="1" t="s">
        <v>13</v>
      </c>
    </row>
    <row r="8" spans="2:53" x14ac:dyDescent="0.25">
      <c r="B8" s="145">
        <v>45933</v>
      </c>
      <c r="C8" s="146" t="s">
        <v>53</v>
      </c>
      <c r="D8" s="27"/>
      <c r="E8" s="13"/>
      <c r="F8" s="14"/>
      <c r="G8" s="13"/>
      <c r="H8" s="14"/>
      <c r="I8" s="27"/>
      <c r="J8" s="61">
        <v>213</v>
      </c>
      <c r="K8" s="161">
        <v>3</v>
      </c>
      <c r="L8" s="13">
        <v>229</v>
      </c>
      <c r="M8" s="14">
        <v>1</v>
      </c>
      <c r="N8" s="27"/>
      <c r="O8" s="13">
        <v>170</v>
      </c>
      <c r="P8" s="14">
        <v>5</v>
      </c>
      <c r="Q8" s="13">
        <v>175</v>
      </c>
      <c r="R8" s="14">
        <v>1</v>
      </c>
      <c r="S8" s="27"/>
      <c r="T8" s="13"/>
      <c r="U8" s="14"/>
      <c r="V8" s="162"/>
      <c r="W8" s="161"/>
      <c r="X8" s="27"/>
      <c r="Y8" s="13">
        <v>179</v>
      </c>
      <c r="Z8" s="14">
        <v>4</v>
      </c>
      <c r="AA8" s="13">
        <v>179</v>
      </c>
      <c r="AB8" s="14">
        <v>2</v>
      </c>
      <c r="AC8" s="27"/>
      <c r="AD8" s="13"/>
      <c r="AE8" s="14"/>
      <c r="AF8" s="13"/>
      <c r="AG8" s="14"/>
      <c r="AH8" s="27"/>
      <c r="AI8" s="13">
        <v>176</v>
      </c>
      <c r="AJ8" s="14">
        <v>2</v>
      </c>
      <c r="AK8" s="13">
        <v>105</v>
      </c>
      <c r="AL8" s="14">
        <v>2</v>
      </c>
      <c r="AM8" s="7"/>
      <c r="AN8" s="13"/>
      <c r="AO8" s="14"/>
      <c r="AP8" s="13"/>
      <c r="AQ8" s="14"/>
      <c r="AU8" s="1" t="s">
        <v>24</v>
      </c>
      <c r="AX8" s="180">
        <f>COUNTA(E6:E36,J6:J36,O6:O36)</f>
        <v>15</v>
      </c>
      <c r="AY8" s="180">
        <f>SUM(J37+K37+O37+P37+E37+F37)</f>
        <v>3117</v>
      </c>
      <c r="AZ8" s="180">
        <f>SUM(L37+M37+Q37+R37)</f>
        <v>3530</v>
      </c>
      <c r="BA8" s="180">
        <f>SUM(AY8:AZ8)</f>
        <v>6647</v>
      </c>
    </row>
    <row r="9" spans="2:53" ht="15.75" customHeight="1" x14ac:dyDescent="0.25">
      <c r="B9" s="145">
        <v>45934</v>
      </c>
      <c r="C9" s="146" t="s">
        <v>54</v>
      </c>
      <c r="D9" s="27"/>
      <c r="E9" s="13"/>
      <c r="F9" s="14"/>
      <c r="G9" s="13"/>
      <c r="H9" s="14"/>
      <c r="I9" s="27"/>
      <c r="J9" s="61">
        <v>239</v>
      </c>
      <c r="K9" s="161">
        <v>5</v>
      </c>
      <c r="L9" s="61">
        <v>239</v>
      </c>
      <c r="M9" s="161">
        <v>3</v>
      </c>
      <c r="N9" s="27"/>
      <c r="O9" s="13">
        <v>228</v>
      </c>
      <c r="P9" s="14">
        <v>6</v>
      </c>
      <c r="Q9" s="13">
        <v>227</v>
      </c>
      <c r="R9" s="14">
        <v>5</v>
      </c>
      <c r="S9" s="27"/>
      <c r="T9" s="13"/>
      <c r="U9" s="14"/>
      <c r="V9" s="186"/>
      <c r="W9" s="14"/>
      <c r="X9" s="27"/>
      <c r="Y9" s="13">
        <v>174</v>
      </c>
      <c r="Z9" s="14">
        <v>3</v>
      </c>
      <c r="AA9" s="13">
        <v>180</v>
      </c>
      <c r="AB9" s="14">
        <v>5</v>
      </c>
      <c r="AC9" s="27"/>
      <c r="AD9" s="13">
        <v>151</v>
      </c>
      <c r="AE9" s="14">
        <v>4</v>
      </c>
      <c r="AF9" s="13">
        <v>154</v>
      </c>
      <c r="AG9" s="14">
        <v>5</v>
      </c>
      <c r="AH9" s="27"/>
      <c r="AI9" s="13"/>
      <c r="AJ9" s="14"/>
      <c r="AK9" s="13"/>
      <c r="AL9" s="14"/>
      <c r="AM9" s="7"/>
      <c r="AN9" s="13"/>
      <c r="AO9" s="14"/>
      <c r="AP9" s="13"/>
      <c r="AQ9" s="14"/>
      <c r="AU9" s="1" t="s">
        <v>52</v>
      </c>
      <c r="AX9" s="180">
        <f>COUNTA(Y6:Y36,AD6:AD36,T6:T36)</f>
        <v>22</v>
      </c>
      <c r="AY9" s="180">
        <f>Y37+AD37+T37+U37+Z37+AE37</f>
        <v>3795</v>
      </c>
      <c r="AZ9" s="180">
        <f>AA37+AF37+V37+AB37+W37+AG37</f>
        <v>3796</v>
      </c>
      <c r="BA9" s="180">
        <f>SUM(AY9:AZ9)</f>
        <v>7591</v>
      </c>
    </row>
    <row r="10" spans="2:53" x14ac:dyDescent="0.25">
      <c r="B10" s="145">
        <v>45935</v>
      </c>
      <c r="C10" s="146" t="s">
        <v>55</v>
      </c>
      <c r="D10" s="27"/>
      <c r="E10" s="13"/>
      <c r="F10" s="14"/>
      <c r="G10" s="13"/>
      <c r="H10" s="14"/>
      <c r="I10" s="27"/>
      <c r="J10" s="61"/>
      <c r="K10" s="161"/>
      <c r="L10" s="61"/>
      <c r="M10" s="161"/>
      <c r="N10" s="27"/>
      <c r="O10" s="13"/>
      <c r="P10" s="14"/>
      <c r="Q10" s="13"/>
      <c r="R10" s="14"/>
      <c r="S10" s="27"/>
      <c r="T10" s="13">
        <v>179</v>
      </c>
      <c r="U10" s="14">
        <v>2</v>
      </c>
      <c r="V10" s="186">
        <v>175</v>
      </c>
      <c r="W10" s="14">
        <v>2</v>
      </c>
      <c r="X10" s="27"/>
      <c r="Y10" s="13">
        <v>180</v>
      </c>
      <c r="Z10" s="14">
        <v>2</v>
      </c>
      <c r="AA10" s="13">
        <v>177</v>
      </c>
      <c r="AB10" s="14">
        <v>3</v>
      </c>
      <c r="AC10" s="27"/>
      <c r="AD10" s="13"/>
      <c r="AE10" s="14"/>
      <c r="AF10" s="13"/>
      <c r="AG10" s="14"/>
      <c r="AH10" s="27"/>
      <c r="AI10" s="13"/>
      <c r="AJ10" s="14"/>
      <c r="AK10" s="13"/>
      <c r="AL10" s="14"/>
      <c r="AM10" s="7"/>
      <c r="AN10" s="13"/>
      <c r="AO10" s="14"/>
      <c r="AP10" s="13"/>
      <c r="AQ10" s="14"/>
      <c r="AU10" s="1" t="s">
        <v>37</v>
      </c>
      <c r="AX10" s="180">
        <f>COUNTA(AI6:AI35)</f>
        <v>2</v>
      </c>
      <c r="AY10" s="180">
        <f>AI37+AJ37</f>
        <v>342</v>
      </c>
      <c r="AZ10" s="180">
        <f>AK37+AL37</f>
        <v>227</v>
      </c>
      <c r="BA10" s="180">
        <f>SUM(AY10:AZ10)</f>
        <v>569</v>
      </c>
    </row>
    <row r="11" spans="2:53" x14ac:dyDescent="0.25">
      <c r="B11" s="145">
        <v>45936</v>
      </c>
      <c r="C11" s="146" t="s">
        <v>56</v>
      </c>
      <c r="D11" s="27"/>
      <c r="E11" s="31"/>
      <c r="F11" s="32"/>
      <c r="G11" s="13"/>
      <c r="H11" s="14"/>
      <c r="I11" s="27"/>
      <c r="J11" s="169">
        <v>239</v>
      </c>
      <c r="K11" s="170">
        <v>1</v>
      </c>
      <c r="L11" s="61">
        <v>238</v>
      </c>
      <c r="M11" s="161">
        <v>11</v>
      </c>
      <c r="N11" s="27"/>
      <c r="O11" s="13"/>
      <c r="P11" s="14"/>
      <c r="Q11" s="152"/>
      <c r="R11" s="14"/>
      <c r="S11" s="27"/>
      <c r="T11" s="13">
        <v>176</v>
      </c>
      <c r="U11" s="14">
        <v>3</v>
      </c>
      <c r="V11" s="186">
        <v>163</v>
      </c>
      <c r="W11" s="14">
        <v>1</v>
      </c>
      <c r="X11" s="27"/>
      <c r="Y11" s="13">
        <v>184</v>
      </c>
      <c r="Z11" s="14">
        <v>2</v>
      </c>
      <c r="AA11" s="13">
        <v>170</v>
      </c>
      <c r="AB11" s="14">
        <v>2</v>
      </c>
      <c r="AC11" s="27"/>
      <c r="AD11" s="13"/>
      <c r="AE11" s="14"/>
      <c r="AF11" s="13"/>
      <c r="AG11" s="14"/>
      <c r="AH11" s="27"/>
      <c r="AI11" s="31"/>
      <c r="AJ11" s="32"/>
      <c r="AK11" s="13"/>
      <c r="AL11" s="14"/>
      <c r="AM11" s="7"/>
      <c r="AN11" s="31">
        <v>160</v>
      </c>
      <c r="AO11" s="32">
        <v>1</v>
      </c>
      <c r="AP11" s="13">
        <v>186</v>
      </c>
      <c r="AQ11" s="14">
        <v>1</v>
      </c>
      <c r="AU11" s="1" t="s">
        <v>41</v>
      </c>
      <c r="AX11" s="180">
        <f>COUNTA(AN6:AN35)</f>
        <v>2</v>
      </c>
      <c r="AY11" s="180">
        <f>AN37+AO37</f>
        <v>270</v>
      </c>
      <c r="AZ11" s="180">
        <f>AP37+AQ37</f>
        <v>322</v>
      </c>
      <c r="BA11" s="180">
        <f>SUM(AY11:AZ11)</f>
        <v>592</v>
      </c>
    </row>
    <row r="12" spans="2:53" ht="15.75" customHeight="1" x14ac:dyDescent="0.25">
      <c r="B12" s="145">
        <v>45937</v>
      </c>
      <c r="C12" s="146" t="s">
        <v>57</v>
      </c>
      <c r="D12" s="27"/>
      <c r="E12" s="13"/>
      <c r="F12" s="14"/>
      <c r="G12" s="13"/>
      <c r="H12" s="14"/>
      <c r="I12" s="27"/>
      <c r="J12" s="61">
        <v>204</v>
      </c>
      <c r="K12" s="161">
        <v>2</v>
      </c>
      <c r="L12" s="61">
        <v>146</v>
      </c>
      <c r="M12" s="161">
        <v>2</v>
      </c>
      <c r="N12" s="27"/>
      <c r="O12" s="13">
        <v>197</v>
      </c>
      <c r="P12" s="14">
        <v>3</v>
      </c>
      <c r="Q12" s="13">
        <v>225</v>
      </c>
      <c r="R12" s="14">
        <v>7</v>
      </c>
      <c r="S12" s="27"/>
      <c r="T12" s="61"/>
      <c r="U12" s="161"/>
      <c r="V12" s="158"/>
      <c r="W12" s="14"/>
      <c r="X12" s="27"/>
      <c r="Y12" s="13">
        <v>196</v>
      </c>
      <c r="Z12" s="14">
        <v>2</v>
      </c>
      <c r="AA12" s="13">
        <v>186</v>
      </c>
      <c r="AB12" s="14">
        <v>6</v>
      </c>
      <c r="AC12" s="27"/>
      <c r="AD12" s="13"/>
      <c r="AE12" s="14"/>
      <c r="AF12" s="13"/>
      <c r="AG12" s="14"/>
      <c r="AH12" s="27"/>
      <c r="AI12" s="13"/>
      <c r="AJ12" s="14"/>
      <c r="AL12" s="14"/>
      <c r="AM12" s="7"/>
      <c r="AN12" s="13"/>
      <c r="AO12" s="14"/>
      <c r="AP12" s="13"/>
      <c r="AQ12" s="14"/>
      <c r="AU12" s="181" t="s">
        <v>13</v>
      </c>
      <c r="AX12" s="182">
        <f>SUM(AX8:AX11)</f>
        <v>41</v>
      </c>
      <c r="AY12" s="182">
        <f t="shared" ref="AY12:BA12" si="0">SUM(AY8:AY11)</f>
        <v>7524</v>
      </c>
      <c r="AZ12" s="182">
        <f t="shared" si="0"/>
        <v>7875</v>
      </c>
      <c r="BA12" s="182">
        <f t="shared" si="0"/>
        <v>15399</v>
      </c>
    </row>
    <row r="13" spans="2:53" x14ac:dyDescent="0.25">
      <c r="B13" s="145">
        <v>45938</v>
      </c>
      <c r="C13" s="146" t="s">
        <v>58</v>
      </c>
      <c r="D13" s="27"/>
      <c r="E13" s="13"/>
      <c r="F13" s="14"/>
      <c r="G13" s="13"/>
      <c r="H13" s="14"/>
      <c r="I13" s="27"/>
      <c r="J13" s="61">
        <v>167</v>
      </c>
      <c r="K13" s="183">
        <v>1</v>
      </c>
      <c r="L13" s="61">
        <v>155</v>
      </c>
      <c r="M13" s="161">
        <v>2</v>
      </c>
      <c r="N13" s="27"/>
      <c r="O13" s="61"/>
      <c r="P13" s="161"/>
      <c r="Q13" s="162"/>
      <c r="R13" s="161"/>
      <c r="S13" s="27"/>
      <c r="T13" s="13">
        <v>167</v>
      </c>
      <c r="U13" s="14">
        <v>6</v>
      </c>
      <c r="V13" s="152">
        <v>169</v>
      </c>
      <c r="W13" s="14">
        <v>5</v>
      </c>
      <c r="X13" s="27"/>
      <c r="Y13" s="13">
        <v>174</v>
      </c>
      <c r="Z13" s="14">
        <v>3</v>
      </c>
      <c r="AA13" s="13">
        <v>171</v>
      </c>
      <c r="AB13" s="14">
        <v>9</v>
      </c>
      <c r="AC13" s="27"/>
      <c r="AD13" s="13">
        <v>132</v>
      </c>
      <c r="AE13" s="14">
        <v>7</v>
      </c>
      <c r="AF13" s="13">
        <v>127</v>
      </c>
      <c r="AG13" s="14">
        <v>3</v>
      </c>
      <c r="AH13" s="27"/>
      <c r="AI13" s="13"/>
      <c r="AJ13" s="14"/>
      <c r="AK13" s="13"/>
      <c r="AL13" s="14"/>
      <c r="AM13" s="7"/>
      <c r="AN13" s="13"/>
      <c r="AO13" s="14"/>
      <c r="AP13" s="13"/>
      <c r="AQ13" s="14"/>
    </row>
    <row r="14" spans="2:53" ht="15" customHeight="1" x14ac:dyDescent="0.25">
      <c r="B14" s="145">
        <v>45939</v>
      </c>
      <c r="C14" s="146" t="s">
        <v>59</v>
      </c>
      <c r="D14" s="27"/>
      <c r="E14" s="13"/>
      <c r="F14" s="14"/>
      <c r="G14" s="13"/>
      <c r="H14" s="14"/>
      <c r="I14" s="27"/>
      <c r="J14" s="61"/>
      <c r="K14" s="161"/>
      <c r="L14" s="61"/>
      <c r="M14" s="161"/>
      <c r="N14" s="27"/>
      <c r="O14" s="13">
        <v>187</v>
      </c>
      <c r="P14" s="14">
        <v>7</v>
      </c>
      <c r="Q14" s="152">
        <v>224</v>
      </c>
      <c r="R14" s="14">
        <v>5</v>
      </c>
      <c r="S14" s="27"/>
      <c r="T14" s="13"/>
      <c r="U14" s="14"/>
      <c r="V14" s="173"/>
      <c r="W14" s="14"/>
      <c r="X14" s="27"/>
      <c r="Y14" s="13"/>
      <c r="Z14" s="14"/>
      <c r="AA14" s="13"/>
      <c r="AB14" s="14"/>
      <c r="AC14" s="27"/>
      <c r="AD14" s="13"/>
      <c r="AE14" s="14"/>
      <c r="AF14" s="13"/>
      <c r="AG14" s="14"/>
      <c r="AH14" s="27"/>
      <c r="AI14" s="13"/>
      <c r="AJ14" s="14"/>
      <c r="AK14" s="13"/>
      <c r="AL14" s="14"/>
      <c r="AM14" s="7"/>
      <c r="AN14" s="13"/>
      <c r="AO14" s="14"/>
      <c r="AP14" s="13"/>
      <c r="AQ14" s="14"/>
    </row>
    <row r="15" spans="2:53" x14ac:dyDescent="0.25">
      <c r="B15" s="145">
        <v>45940</v>
      </c>
      <c r="C15" s="146" t="s">
        <v>53</v>
      </c>
      <c r="D15" s="27"/>
      <c r="E15" s="13"/>
      <c r="F15" s="14"/>
      <c r="G15" s="13"/>
      <c r="H15" s="14"/>
      <c r="I15" s="27"/>
      <c r="J15" s="61">
        <v>235</v>
      </c>
      <c r="K15" s="161">
        <v>4</v>
      </c>
      <c r="L15" s="61">
        <v>239</v>
      </c>
      <c r="M15" s="161">
        <v>3</v>
      </c>
      <c r="N15" s="27"/>
      <c r="O15" s="13"/>
      <c r="P15" s="14"/>
      <c r="Q15" s="13"/>
      <c r="R15" s="14"/>
      <c r="S15" s="27"/>
      <c r="T15" s="13">
        <v>166</v>
      </c>
      <c r="U15" s="14">
        <v>2</v>
      </c>
      <c r="V15" s="162">
        <v>180</v>
      </c>
      <c r="W15" s="161">
        <v>2</v>
      </c>
      <c r="X15" s="27"/>
      <c r="Y15" s="13">
        <v>181</v>
      </c>
      <c r="Z15" s="14">
        <v>5</v>
      </c>
      <c r="AA15" s="13">
        <v>186</v>
      </c>
      <c r="AB15" s="14">
        <v>4</v>
      </c>
      <c r="AC15" s="27"/>
      <c r="AD15" s="13"/>
      <c r="AE15" s="14"/>
      <c r="AF15" s="13"/>
      <c r="AG15" s="14"/>
      <c r="AH15" s="27"/>
      <c r="AI15" s="13">
        <v>162</v>
      </c>
      <c r="AJ15" s="14">
        <v>2</v>
      </c>
      <c r="AK15" s="13">
        <v>118</v>
      </c>
      <c r="AL15" s="14">
        <v>2</v>
      </c>
      <c r="AM15" s="7"/>
      <c r="AN15" s="13"/>
      <c r="AO15" s="14"/>
      <c r="AP15" s="13"/>
      <c r="AQ15" s="14"/>
    </row>
    <row r="16" spans="2:53" x14ac:dyDescent="0.25">
      <c r="B16" s="145">
        <v>45941</v>
      </c>
      <c r="C16" s="146" t="s">
        <v>54</v>
      </c>
      <c r="D16" s="27"/>
      <c r="E16" s="13"/>
      <c r="F16" s="14"/>
      <c r="G16" s="13"/>
      <c r="H16" s="14"/>
      <c r="I16" s="27"/>
      <c r="J16" s="61">
        <v>239</v>
      </c>
      <c r="K16" s="161">
        <v>3</v>
      </c>
      <c r="L16" s="61">
        <v>231</v>
      </c>
      <c r="M16" s="161">
        <v>1</v>
      </c>
      <c r="N16" s="27"/>
      <c r="O16" s="13">
        <v>218</v>
      </c>
      <c r="P16" s="14">
        <v>3</v>
      </c>
      <c r="Q16" s="13">
        <v>238</v>
      </c>
      <c r="R16" s="14">
        <v>3</v>
      </c>
      <c r="S16" s="27"/>
      <c r="T16" s="13"/>
      <c r="U16" s="14"/>
      <c r="V16" s="154"/>
      <c r="W16" s="32"/>
      <c r="X16" s="27"/>
      <c r="Y16" s="13">
        <v>180</v>
      </c>
      <c r="Z16" s="14"/>
      <c r="AA16" s="13">
        <v>180</v>
      </c>
      <c r="AB16" s="14">
        <v>4</v>
      </c>
      <c r="AC16" s="27"/>
      <c r="AD16" s="13">
        <v>159</v>
      </c>
      <c r="AE16" s="14">
        <v>3</v>
      </c>
      <c r="AF16" s="13">
        <v>164</v>
      </c>
      <c r="AG16" s="14">
        <v>4</v>
      </c>
      <c r="AH16" s="27"/>
      <c r="AI16" s="13"/>
      <c r="AJ16" s="14"/>
      <c r="AK16" s="13"/>
      <c r="AL16" s="14"/>
      <c r="AM16" s="7"/>
      <c r="AN16" s="13"/>
      <c r="AO16" s="14"/>
      <c r="AP16" s="13"/>
      <c r="AQ16" s="14"/>
    </row>
    <row r="17" spans="2:56" ht="17.25" customHeight="1" x14ac:dyDescent="0.25">
      <c r="B17" s="145">
        <v>45942</v>
      </c>
      <c r="C17" s="146" t="s">
        <v>55</v>
      </c>
      <c r="D17" s="27"/>
      <c r="E17" s="13"/>
      <c r="F17" s="14"/>
      <c r="G17" s="13"/>
      <c r="H17" s="14"/>
      <c r="I17" s="27"/>
      <c r="J17" s="61"/>
      <c r="K17" s="161"/>
      <c r="L17" s="61"/>
      <c r="M17" s="161"/>
      <c r="N17" s="27"/>
      <c r="O17" s="13"/>
      <c r="P17" s="14"/>
      <c r="Q17" s="13"/>
      <c r="R17" s="14"/>
      <c r="S17" s="27"/>
      <c r="T17" s="13">
        <v>181</v>
      </c>
      <c r="U17" s="14">
        <v>0</v>
      </c>
      <c r="V17" s="152">
        <v>181</v>
      </c>
      <c r="W17" s="14">
        <v>1</v>
      </c>
      <c r="X17" s="27"/>
      <c r="Y17" s="13">
        <v>171</v>
      </c>
      <c r="Z17" s="14">
        <v>2</v>
      </c>
      <c r="AA17" s="13">
        <v>179</v>
      </c>
      <c r="AB17" s="14">
        <v>3</v>
      </c>
      <c r="AC17" s="27"/>
      <c r="AD17" s="13"/>
      <c r="AE17" s="14"/>
      <c r="AF17" s="13"/>
      <c r="AG17" s="14"/>
      <c r="AH17" s="27"/>
      <c r="AI17" s="13"/>
      <c r="AJ17" s="14"/>
      <c r="AK17" s="13"/>
      <c r="AL17" s="14"/>
      <c r="AM17" s="7"/>
      <c r="AN17" s="13"/>
      <c r="AO17" s="14"/>
      <c r="AP17" s="13"/>
      <c r="AQ17" s="14"/>
    </row>
    <row r="18" spans="2:56" x14ac:dyDescent="0.25">
      <c r="B18" s="145">
        <v>45943</v>
      </c>
      <c r="C18" s="146" t="s">
        <v>56</v>
      </c>
      <c r="D18" s="27"/>
      <c r="E18" s="13"/>
      <c r="F18" s="14"/>
      <c r="G18" s="13"/>
      <c r="H18" s="14"/>
      <c r="I18" s="27"/>
      <c r="J18" s="61">
        <v>239</v>
      </c>
      <c r="K18" s="161">
        <v>7</v>
      </c>
      <c r="L18" s="61">
        <v>195</v>
      </c>
      <c r="M18" s="161">
        <v>4</v>
      </c>
      <c r="N18" s="27"/>
      <c r="O18" s="13"/>
      <c r="P18" s="14"/>
      <c r="Q18" s="13"/>
      <c r="R18" s="14"/>
      <c r="S18" s="27"/>
      <c r="T18" s="13">
        <v>180</v>
      </c>
      <c r="U18" s="14">
        <v>1</v>
      </c>
      <c r="V18" s="191">
        <v>178</v>
      </c>
      <c r="W18" s="14">
        <v>2</v>
      </c>
      <c r="X18" s="27"/>
      <c r="Y18" s="13">
        <v>185</v>
      </c>
      <c r="Z18" s="14">
        <v>3</v>
      </c>
      <c r="AA18" s="13">
        <v>121</v>
      </c>
      <c r="AB18" s="14">
        <v>5</v>
      </c>
      <c r="AC18" s="27"/>
      <c r="AD18" s="13"/>
      <c r="AE18" s="14"/>
      <c r="AF18" s="13"/>
      <c r="AG18" s="14"/>
      <c r="AH18" s="27"/>
      <c r="AI18" s="13"/>
      <c r="AJ18" s="14"/>
      <c r="AK18" s="13"/>
      <c r="AL18" s="14"/>
      <c r="AM18" s="7"/>
      <c r="AN18" s="31">
        <v>109</v>
      </c>
      <c r="AO18" s="14">
        <v>0</v>
      </c>
      <c r="AP18" s="13">
        <v>135</v>
      </c>
      <c r="AQ18" s="14">
        <v>0</v>
      </c>
    </row>
    <row r="19" spans="2:56" ht="15.75" customHeight="1" x14ac:dyDescent="0.25">
      <c r="B19" s="145">
        <v>45944</v>
      </c>
      <c r="C19" s="146" t="s">
        <v>57</v>
      </c>
      <c r="D19" s="27"/>
      <c r="E19" s="13"/>
      <c r="F19" s="14"/>
      <c r="G19" s="13"/>
      <c r="H19" s="14"/>
      <c r="I19" s="27"/>
      <c r="J19" s="61"/>
      <c r="K19" s="161"/>
      <c r="L19" s="61">
        <v>70</v>
      </c>
      <c r="M19" s="161">
        <v>0</v>
      </c>
      <c r="N19" s="27"/>
      <c r="O19" s="13"/>
      <c r="P19" s="14"/>
      <c r="Q19" s="13">
        <v>231</v>
      </c>
      <c r="R19" s="14">
        <v>4</v>
      </c>
      <c r="S19" s="27"/>
      <c r="T19" s="61"/>
      <c r="U19" s="161"/>
      <c r="V19" s="152"/>
      <c r="W19" s="14"/>
      <c r="X19" s="27"/>
      <c r="Y19" s="13"/>
      <c r="Z19" s="14"/>
      <c r="AA19" s="13"/>
      <c r="AB19" s="14"/>
      <c r="AC19" s="27"/>
      <c r="AD19" s="13"/>
      <c r="AE19" s="14"/>
      <c r="AF19" s="13"/>
      <c r="AG19" s="14"/>
      <c r="AH19" s="27"/>
      <c r="AI19" s="13"/>
      <c r="AJ19" s="14"/>
      <c r="AK19" s="13"/>
      <c r="AL19" s="14"/>
      <c r="AM19" s="7"/>
      <c r="AN19" s="13"/>
      <c r="AO19" s="14"/>
      <c r="AP19" s="13"/>
      <c r="AQ19" s="14"/>
    </row>
    <row r="20" spans="2:56" x14ac:dyDescent="0.25">
      <c r="B20" s="145">
        <v>45945</v>
      </c>
      <c r="C20" s="146" t="s">
        <v>58</v>
      </c>
      <c r="D20" s="27"/>
      <c r="E20" s="13"/>
      <c r="F20" s="14"/>
      <c r="G20" s="13"/>
      <c r="H20" s="14"/>
      <c r="I20" s="27"/>
      <c r="J20" s="61"/>
      <c r="K20" s="161"/>
      <c r="L20" s="61"/>
      <c r="M20" s="161"/>
      <c r="N20" s="27"/>
      <c r="O20" s="13"/>
      <c r="P20" s="14"/>
      <c r="Q20" s="13"/>
      <c r="R20" s="14"/>
      <c r="S20" s="27"/>
      <c r="T20" s="13"/>
      <c r="U20" s="14"/>
      <c r="V20" s="190"/>
      <c r="W20" s="14"/>
      <c r="X20" s="27"/>
      <c r="Y20" s="13"/>
      <c r="Z20" s="14"/>
      <c r="AA20" s="13"/>
      <c r="AB20" s="14"/>
      <c r="AC20" s="27"/>
      <c r="AD20" s="13"/>
      <c r="AE20" s="14"/>
      <c r="AF20" s="13"/>
      <c r="AG20" s="14"/>
      <c r="AH20" s="27"/>
      <c r="AI20" s="13"/>
      <c r="AJ20" s="14"/>
      <c r="AK20" s="13"/>
      <c r="AL20" s="14"/>
      <c r="AM20" s="155"/>
      <c r="AN20" s="13"/>
      <c r="AO20" s="14"/>
      <c r="AP20" s="31"/>
      <c r="AQ20" s="32"/>
      <c r="AV20" s="47"/>
    </row>
    <row r="21" spans="2:56" ht="15.75" customHeight="1" x14ac:dyDescent="0.25">
      <c r="B21" s="145">
        <v>45946</v>
      </c>
      <c r="C21" s="146" t="s">
        <v>59</v>
      </c>
      <c r="D21" s="27"/>
      <c r="E21" s="13"/>
      <c r="F21" s="14"/>
      <c r="G21" s="13"/>
      <c r="H21" s="14"/>
      <c r="I21" s="27"/>
      <c r="J21" s="61"/>
      <c r="K21" s="161"/>
      <c r="L21" s="61"/>
      <c r="M21" s="161"/>
      <c r="N21" s="27"/>
      <c r="O21" s="13"/>
      <c r="P21" s="14"/>
      <c r="Q21" s="13"/>
      <c r="R21" s="14"/>
      <c r="S21" s="27"/>
      <c r="T21" s="13"/>
      <c r="U21" s="14"/>
      <c r="V21" s="152"/>
      <c r="W21" s="14"/>
      <c r="X21" s="27"/>
      <c r="Y21" s="13"/>
      <c r="Z21" s="14"/>
      <c r="AA21" s="13"/>
      <c r="AB21" s="14"/>
      <c r="AC21" s="27"/>
      <c r="AD21" s="13"/>
      <c r="AE21" s="14"/>
      <c r="AF21" s="13"/>
      <c r="AG21" s="14"/>
      <c r="AH21" s="27"/>
      <c r="AI21" s="13"/>
      <c r="AJ21" s="14"/>
      <c r="AK21" s="13"/>
      <c r="AL21" s="14"/>
      <c r="AM21" s="156"/>
      <c r="AN21" s="13"/>
      <c r="AO21" s="14"/>
      <c r="AP21" s="13"/>
      <c r="AQ21" s="14"/>
      <c r="AR21" s="47"/>
      <c r="AS21" s="47"/>
      <c r="AT21" s="47"/>
      <c r="AV21" s="47"/>
    </row>
    <row r="22" spans="2:56" s="6" customFormat="1" x14ac:dyDescent="0.25">
      <c r="B22" s="145">
        <v>45947</v>
      </c>
      <c r="C22" s="146" t="s">
        <v>53</v>
      </c>
      <c r="D22" s="27"/>
      <c r="E22" s="13"/>
      <c r="F22" s="14"/>
      <c r="G22" s="13"/>
      <c r="H22" s="14"/>
      <c r="I22" s="27"/>
      <c r="J22" s="61"/>
      <c r="K22" s="161"/>
      <c r="L22" s="61"/>
      <c r="M22" s="161"/>
      <c r="N22" s="27"/>
      <c r="O22" s="13"/>
      <c r="P22" s="14"/>
      <c r="Q22" s="13"/>
      <c r="R22" s="14"/>
      <c r="S22" s="27"/>
      <c r="T22" s="153"/>
      <c r="U22" s="14"/>
      <c r="V22" s="152"/>
      <c r="W22" s="14"/>
      <c r="X22" s="27"/>
      <c r="Y22" s="13"/>
      <c r="Z22" s="14"/>
      <c r="AA22" s="13"/>
      <c r="AB22" s="14"/>
      <c r="AC22" s="27"/>
      <c r="AD22" s="13"/>
      <c r="AE22" s="14"/>
      <c r="AF22" s="13"/>
      <c r="AG22" s="14"/>
      <c r="AH22" s="27"/>
      <c r="AI22" s="13"/>
      <c r="AJ22" s="14"/>
      <c r="AK22" s="13"/>
      <c r="AL22" s="14"/>
      <c r="AM22" s="156"/>
      <c r="AN22" s="13"/>
      <c r="AO22" s="14"/>
      <c r="AP22" s="13"/>
      <c r="AQ22" s="14"/>
      <c r="AR22" s="47"/>
      <c r="AS22" s="47"/>
      <c r="AT22" s="47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2:56" x14ac:dyDescent="0.25">
      <c r="B23" s="145">
        <v>45948</v>
      </c>
      <c r="C23" s="146" t="s">
        <v>54</v>
      </c>
      <c r="D23" s="27"/>
      <c r="E23" s="13"/>
      <c r="F23" s="14"/>
      <c r="G23" s="13"/>
      <c r="H23" s="14"/>
      <c r="I23" s="27"/>
      <c r="J23" s="13"/>
      <c r="K23" s="14"/>
      <c r="L23" s="13"/>
      <c r="M23" s="14"/>
      <c r="N23" s="27"/>
      <c r="O23" s="13"/>
      <c r="P23" s="14"/>
      <c r="Q23" s="13"/>
      <c r="R23" s="14"/>
      <c r="S23" s="27"/>
      <c r="T23" s="13"/>
      <c r="U23" s="14"/>
      <c r="V23" s="152"/>
      <c r="W23" s="14"/>
      <c r="X23" s="27"/>
      <c r="Y23" s="13"/>
      <c r="Z23" s="14"/>
      <c r="AA23" s="13"/>
      <c r="AB23" s="14"/>
      <c r="AC23" s="27"/>
      <c r="AD23" s="13"/>
      <c r="AE23" s="14"/>
      <c r="AF23" s="13"/>
      <c r="AG23" s="14"/>
      <c r="AH23" s="27"/>
      <c r="AI23" s="13"/>
      <c r="AJ23" s="14"/>
      <c r="AK23" s="13"/>
      <c r="AL23" s="14"/>
      <c r="AM23" s="156"/>
      <c r="AN23" s="13"/>
      <c r="AO23" s="14"/>
      <c r="AP23" s="13"/>
      <c r="AQ23" s="14"/>
      <c r="AR23" s="47"/>
      <c r="AS23" s="47"/>
      <c r="AT23" s="47"/>
    </row>
    <row r="24" spans="2:56" x14ac:dyDescent="0.25">
      <c r="B24" s="145">
        <v>45949</v>
      </c>
      <c r="C24" s="146" t="s">
        <v>55</v>
      </c>
      <c r="D24" s="27"/>
      <c r="E24" s="13"/>
      <c r="F24" s="14"/>
      <c r="G24" s="13"/>
      <c r="H24" s="14"/>
      <c r="I24" s="27"/>
      <c r="J24" s="61"/>
      <c r="K24" s="161"/>
      <c r="L24" s="61"/>
      <c r="M24" s="161"/>
      <c r="N24" s="27"/>
      <c r="O24" s="13"/>
      <c r="P24" s="14"/>
      <c r="Q24" s="13"/>
      <c r="R24" s="14"/>
      <c r="S24" s="27"/>
      <c r="T24" s="86"/>
      <c r="U24" s="87"/>
      <c r="V24" s="166"/>
      <c r="W24" s="167"/>
      <c r="X24" s="27"/>
      <c r="Y24" s="13"/>
      <c r="Z24" s="14"/>
      <c r="AA24" s="13"/>
      <c r="AB24" s="14"/>
      <c r="AC24" s="27"/>
      <c r="AD24" s="13"/>
      <c r="AE24" s="14"/>
      <c r="AF24" s="13"/>
      <c r="AG24" s="14"/>
      <c r="AH24" s="27"/>
      <c r="AI24" s="13"/>
      <c r="AJ24" s="14"/>
      <c r="AK24" s="13"/>
      <c r="AL24" s="14"/>
      <c r="AM24" s="156"/>
      <c r="AN24" s="13"/>
      <c r="AO24" s="14"/>
      <c r="AP24" s="13"/>
      <c r="AQ24" s="14"/>
      <c r="AR24" s="47"/>
      <c r="AS24" s="47"/>
      <c r="AT24" s="47"/>
      <c r="AU24" s="47"/>
    </row>
    <row r="25" spans="2:56" x14ac:dyDescent="0.25">
      <c r="B25" s="145">
        <v>45950</v>
      </c>
      <c r="C25" s="146" t="s">
        <v>56</v>
      </c>
      <c r="D25" s="27"/>
      <c r="E25" s="13"/>
      <c r="F25" s="14"/>
      <c r="G25" s="13"/>
      <c r="H25" s="14"/>
      <c r="I25" s="27"/>
      <c r="J25" s="61"/>
      <c r="K25" s="161"/>
      <c r="L25" s="61"/>
      <c r="M25" s="161"/>
      <c r="N25" s="27"/>
      <c r="O25" s="13"/>
      <c r="P25" s="14"/>
      <c r="Q25" s="13"/>
      <c r="R25" s="14"/>
      <c r="S25" s="27"/>
      <c r="T25" s="13"/>
      <c r="U25" s="14"/>
      <c r="V25" s="160"/>
      <c r="W25" s="14"/>
      <c r="X25" s="27"/>
      <c r="Y25" s="13"/>
      <c r="Z25" s="14"/>
      <c r="AA25" s="13"/>
      <c r="AB25" s="14"/>
      <c r="AC25" s="27"/>
      <c r="AD25" s="13"/>
      <c r="AE25" s="14"/>
      <c r="AF25" s="13"/>
      <c r="AG25" s="14"/>
      <c r="AH25" s="27"/>
      <c r="AI25" s="13"/>
      <c r="AJ25" s="14"/>
      <c r="AK25" s="13"/>
      <c r="AL25" s="14"/>
      <c r="AM25" s="156"/>
      <c r="AN25" s="13"/>
      <c r="AO25" s="14"/>
      <c r="AP25" s="13"/>
      <c r="AQ25" s="14"/>
      <c r="AR25" s="47"/>
      <c r="AS25" s="47"/>
      <c r="AT25" s="47"/>
      <c r="AU25" s="47"/>
    </row>
    <row r="26" spans="2:56" s="7" customFormat="1" ht="14.25" customHeight="1" x14ac:dyDescent="0.25">
      <c r="B26" s="145">
        <v>45951</v>
      </c>
      <c r="C26" s="146" t="s">
        <v>57</v>
      </c>
      <c r="D26" s="27"/>
      <c r="E26" s="13"/>
      <c r="F26" s="14"/>
      <c r="G26" s="13"/>
      <c r="H26" s="14"/>
      <c r="I26" s="27"/>
      <c r="J26" s="61"/>
      <c r="K26" s="161"/>
      <c r="L26" s="61"/>
      <c r="M26" s="161"/>
      <c r="N26" s="27"/>
      <c r="O26" s="13"/>
      <c r="P26" s="14"/>
      <c r="Q26" s="13"/>
      <c r="R26" s="14"/>
      <c r="S26" s="27"/>
      <c r="T26" s="13"/>
      <c r="U26" s="14"/>
      <c r="V26" s="152"/>
      <c r="W26" s="14"/>
      <c r="X26" s="27"/>
      <c r="Y26" s="13"/>
      <c r="Z26" s="14"/>
      <c r="AA26" s="13"/>
      <c r="AB26" s="14"/>
      <c r="AC26" s="27"/>
      <c r="AD26" s="13"/>
      <c r="AE26" s="14"/>
      <c r="AF26" s="13"/>
      <c r="AG26" s="14"/>
      <c r="AH26" s="27"/>
      <c r="AI26" s="13"/>
      <c r="AJ26" s="14"/>
      <c r="AK26" s="13"/>
      <c r="AL26" s="14"/>
      <c r="AM26" s="156"/>
      <c r="AN26" s="13"/>
      <c r="AO26" s="14"/>
      <c r="AP26" s="13"/>
      <c r="AQ26" s="14"/>
      <c r="AR26" s="47"/>
      <c r="AS26" s="47"/>
      <c r="AT26" s="47"/>
      <c r="AU26" s="47"/>
      <c r="AV26" s="47"/>
      <c r="AW26" s="1"/>
      <c r="AX26" s="1"/>
      <c r="AY26" s="1"/>
      <c r="AZ26" s="1"/>
      <c r="BA26" s="1"/>
      <c r="BB26" s="1"/>
      <c r="BC26" s="1"/>
    </row>
    <row r="27" spans="2:56" ht="15.75" customHeight="1" x14ac:dyDescent="0.25">
      <c r="B27" s="145">
        <v>45952</v>
      </c>
      <c r="C27" s="146" t="s">
        <v>58</v>
      </c>
      <c r="D27" s="27"/>
      <c r="E27" s="13"/>
      <c r="F27" s="14"/>
      <c r="G27" s="13"/>
      <c r="H27" s="14"/>
      <c r="I27" s="27"/>
      <c r="J27" s="61"/>
      <c r="K27" s="161"/>
      <c r="L27" s="61"/>
      <c r="M27" s="161"/>
      <c r="N27" s="27"/>
      <c r="O27" s="13"/>
      <c r="P27" s="14"/>
      <c r="Q27" s="152"/>
      <c r="R27" s="14"/>
      <c r="S27" s="27"/>
      <c r="T27" s="13"/>
      <c r="U27" s="14"/>
      <c r="V27" s="152"/>
      <c r="W27" s="14"/>
      <c r="X27" s="27"/>
      <c r="Y27" s="13"/>
      <c r="Z27" s="14"/>
      <c r="AA27" s="13"/>
      <c r="AB27" s="14"/>
      <c r="AC27" s="27"/>
      <c r="AD27" s="13"/>
      <c r="AE27" s="14"/>
      <c r="AF27" s="13"/>
      <c r="AG27" s="14"/>
      <c r="AH27" s="27"/>
      <c r="AI27" s="13"/>
      <c r="AJ27" s="14"/>
      <c r="AK27" s="13"/>
      <c r="AL27" s="14"/>
      <c r="AM27" s="156"/>
      <c r="AN27" s="13"/>
      <c r="AO27" s="14"/>
      <c r="AP27" s="13"/>
      <c r="AQ27" s="14"/>
      <c r="AR27" s="47"/>
      <c r="AS27" s="47"/>
      <c r="AT27" s="47"/>
      <c r="AU27" s="47"/>
      <c r="AV27" s="47"/>
    </row>
    <row r="28" spans="2:56" x14ac:dyDescent="0.25">
      <c r="B28" s="145">
        <v>45953</v>
      </c>
      <c r="C28" s="146" t="s">
        <v>59</v>
      </c>
      <c r="D28" s="27"/>
      <c r="E28" s="13"/>
      <c r="F28" s="14"/>
      <c r="G28" s="13"/>
      <c r="H28" s="14"/>
      <c r="I28" s="27"/>
      <c r="J28" s="61"/>
      <c r="K28" s="161"/>
      <c r="L28" s="61"/>
      <c r="M28" s="161"/>
      <c r="N28" s="27"/>
      <c r="O28" s="13"/>
      <c r="P28" s="14"/>
      <c r="Q28" s="13"/>
      <c r="R28" s="14"/>
      <c r="S28" s="27"/>
      <c r="T28" s="13"/>
      <c r="U28" s="14"/>
      <c r="V28" s="152"/>
      <c r="W28" s="14"/>
      <c r="X28" s="27"/>
      <c r="Y28" s="13"/>
      <c r="Z28" s="14"/>
      <c r="AA28" s="172"/>
      <c r="AB28" s="14"/>
      <c r="AC28" s="27"/>
      <c r="AD28" s="13"/>
      <c r="AE28" s="14"/>
      <c r="AF28" s="193"/>
      <c r="AG28" s="14"/>
      <c r="AH28" s="27"/>
      <c r="AI28" s="13"/>
      <c r="AJ28" s="14"/>
      <c r="AK28" s="13"/>
      <c r="AL28" s="14"/>
      <c r="AM28" s="156"/>
      <c r="AN28" s="13"/>
      <c r="AO28" s="14"/>
      <c r="AP28" s="13"/>
      <c r="AQ28" s="14"/>
      <c r="AR28" s="47"/>
      <c r="AS28" s="47"/>
      <c r="AT28" s="47"/>
      <c r="AU28" s="47"/>
    </row>
    <row r="29" spans="2:56" x14ac:dyDescent="0.25">
      <c r="B29" s="145">
        <v>45954</v>
      </c>
      <c r="C29" s="146" t="s">
        <v>53</v>
      </c>
      <c r="D29" s="27"/>
      <c r="E29" s="13"/>
      <c r="F29" s="14"/>
      <c r="G29" s="13"/>
      <c r="H29" s="14"/>
      <c r="I29" s="27"/>
      <c r="J29" s="61"/>
      <c r="K29" s="161"/>
      <c r="L29" s="61"/>
      <c r="M29" s="161"/>
      <c r="N29" s="27"/>
      <c r="O29" s="13"/>
      <c r="P29" s="14"/>
      <c r="Q29" s="13"/>
      <c r="R29" s="14"/>
      <c r="S29" s="27"/>
      <c r="T29" s="13"/>
      <c r="U29" s="14"/>
      <c r="V29" s="152"/>
      <c r="W29" s="14"/>
      <c r="X29" s="27"/>
      <c r="Y29" s="13"/>
      <c r="Z29" s="14"/>
      <c r="AA29" s="13"/>
      <c r="AB29" s="14"/>
      <c r="AC29" s="27"/>
      <c r="AD29" s="13"/>
      <c r="AE29" s="14"/>
      <c r="AF29" s="13"/>
      <c r="AG29" s="14"/>
      <c r="AH29" s="27"/>
      <c r="AI29" s="13"/>
      <c r="AJ29" s="14"/>
      <c r="AK29" s="13"/>
      <c r="AL29" s="14"/>
      <c r="AM29" s="156"/>
      <c r="AN29" s="13"/>
      <c r="AO29" s="14"/>
      <c r="AP29" s="13"/>
      <c r="AQ29" s="14"/>
      <c r="AR29" s="47"/>
      <c r="AS29" s="47"/>
      <c r="AT29" s="47"/>
      <c r="AU29" s="47"/>
    </row>
    <row r="30" spans="2:56" s="7" customFormat="1" x14ac:dyDescent="0.25">
      <c r="B30" s="145">
        <v>45955</v>
      </c>
      <c r="C30" s="146" t="s">
        <v>54</v>
      </c>
      <c r="D30" s="27"/>
      <c r="E30" s="13"/>
      <c r="F30" s="14"/>
      <c r="G30" s="13"/>
      <c r="H30" s="14"/>
      <c r="I30" s="27"/>
      <c r="J30" s="61"/>
      <c r="K30" s="161"/>
      <c r="L30" s="61"/>
      <c r="M30" s="161"/>
      <c r="N30" s="27"/>
      <c r="O30" s="13"/>
      <c r="P30" s="14"/>
      <c r="Q30" s="13"/>
      <c r="R30" s="14"/>
      <c r="S30" s="27"/>
      <c r="T30" s="13"/>
      <c r="U30" s="14"/>
      <c r="V30" s="152"/>
      <c r="W30" s="14"/>
      <c r="X30" s="27"/>
      <c r="Y30" s="13"/>
      <c r="Z30" s="14"/>
      <c r="AA30" s="184"/>
      <c r="AB30" s="14"/>
      <c r="AC30" s="27"/>
      <c r="AD30" s="13"/>
      <c r="AE30" s="14"/>
      <c r="AF30" s="193"/>
      <c r="AG30" s="14"/>
      <c r="AH30" s="27"/>
      <c r="AI30" s="13"/>
      <c r="AJ30" s="14"/>
      <c r="AK30" s="13"/>
      <c r="AL30" s="14"/>
      <c r="AM30" s="156"/>
      <c r="AN30" s="13"/>
      <c r="AO30" s="14"/>
      <c r="AP30" s="13"/>
      <c r="AQ30" s="14"/>
      <c r="AR30" s="47"/>
      <c r="AS30" s="47"/>
      <c r="AT30" s="47"/>
      <c r="AU30" s="47"/>
      <c r="AV30" s="1"/>
      <c r="AW30" s="1"/>
      <c r="AX30" s="1"/>
      <c r="AY30" s="1"/>
      <c r="AZ30" s="1"/>
      <c r="BA30" s="1"/>
      <c r="BB30" s="1"/>
      <c r="BC30" s="1"/>
    </row>
    <row r="31" spans="2:56" x14ac:dyDescent="0.25">
      <c r="B31" s="145">
        <v>45956</v>
      </c>
      <c r="C31" s="146" t="s">
        <v>55</v>
      </c>
      <c r="D31" s="27"/>
      <c r="E31" s="13"/>
      <c r="F31" s="14"/>
      <c r="G31" s="10"/>
      <c r="H31" s="11"/>
      <c r="I31" s="27"/>
      <c r="J31" s="61"/>
      <c r="K31" s="161"/>
      <c r="L31" s="61"/>
      <c r="M31" s="161"/>
      <c r="N31" s="27"/>
      <c r="O31" s="13"/>
      <c r="P31" s="14"/>
      <c r="Q31" s="13"/>
      <c r="R31" s="14"/>
      <c r="S31" s="27"/>
      <c r="T31" s="13"/>
      <c r="U31" s="14"/>
      <c r="V31" s="162"/>
      <c r="W31" s="161"/>
      <c r="X31" s="27"/>
      <c r="Y31" s="13"/>
      <c r="Z31" s="14"/>
      <c r="AA31" s="10"/>
      <c r="AB31" s="11"/>
      <c r="AC31" s="28"/>
      <c r="AD31" s="13"/>
      <c r="AE31" s="14"/>
      <c r="AF31" s="10"/>
      <c r="AG31" s="11"/>
      <c r="AH31" s="28"/>
      <c r="AI31" s="13"/>
      <c r="AJ31" s="14"/>
      <c r="AK31" s="13"/>
      <c r="AL31" s="14"/>
      <c r="AM31" s="156"/>
      <c r="AN31" s="13"/>
      <c r="AO31" s="14"/>
      <c r="AP31" s="13"/>
      <c r="AQ31" s="14"/>
      <c r="AR31" s="47"/>
      <c r="AS31" s="47"/>
      <c r="AT31" s="47"/>
      <c r="AU31" s="47"/>
    </row>
    <row r="32" spans="2:56" ht="14.25" customHeight="1" x14ac:dyDescent="0.25">
      <c r="B32" s="145">
        <v>45957</v>
      </c>
      <c r="C32" s="146" t="s">
        <v>56</v>
      </c>
      <c r="D32" s="27"/>
      <c r="E32" s="13"/>
      <c r="F32" s="14"/>
      <c r="G32" s="13"/>
      <c r="H32" s="14"/>
      <c r="I32" s="27"/>
      <c r="J32" s="169"/>
      <c r="K32" s="161"/>
      <c r="L32" s="61"/>
      <c r="M32" s="161"/>
      <c r="N32" s="27"/>
      <c r="O32" s="13"/>
      <c r="P32" s="14"/>
      <c r="Q32" s="157"/>
      <c r="R32" s="14"/>
      <c r="S32" s="27"/>
      <c r="T32" s="13"/>
      <c r="U32" s="14"/>
      <c r="V32" s="162"/>
      <c r="W32" s="161"/>
      <c r="X32" s="27"/>
      <c r="Y32" s="13"/>
      <c r="Z32" s="14"/>
      <c r="AA32" s="13"/>
      <c r="AB32" s="14"/>
      <c r="AC32" s="27"/>
      <c r="AD32" s="13"/>
      <c r="AE32" s="14"/>
      <c r="AF32" s="13"/>
      <c r="AG32" s="14"/>
      <c r="AH32" s="27"/>
      <c r="AI32" s="13"/>
      <c r="AJ32" s="14"/>
      <c r="AK32" s="13"/>
      <c r="AL32" s="14"/>
      <c r="AM32" s="156"/>
      <c r="AN32" s="13"/>
      <c r="AO32" s="14"/>
      <c r="AP32" s="13"/>
      <c r="AQ32" s="14"/>
      <c r="AR32" s="47"/>
      <c r="AS32" s="47"/>
      <c r="AT32" s="47"/>
      <c r="AU32" s="47"/>
    </row>
    <row r="33" spans="2:47" x14ac:dyDescent="0.25">
      <c r="B33" s="145">
        <v>45958</v>
      </c>
      <c r="C33" s="146" t="s">
        <v>57</v>
      </c>
      <c r="D33" s="27"/>
      <c r="E33" s="13"/>
      <c r="F33" s="14"/>
      <c r="G33" s="13"/>
      <c r="H33" s="14"/>
      <c r="I33" s="27"/>
      <c r="J33" s="61"/>
      <c r="K33" s="161"/>
      <c r="L33" s="61"/>
      <c r="M33" s="161"/>
      <c r="N33" s="27"/>
      <c r="O33" s="13"/>
      <c r="P33" s="14"/>
      <c r="Q33" s="13"/>
      <c r="R33" s="14"/>
      <c r="S33" s="27"/>
      <c r="T33" s="13"/>
      <c r="U33" s="14"/>
      <c r="V33" s="152"/>
      <c r="W33" s="14"/>
      <c r="X33" s="27"/>
      <c r="Y33" s="13"/>
      <c r="Z33" s="14"/>
      <c r="AA33" s="13"/>
      <c r="AB33" s="14"/>
      <c r="AC33" s="27"/>
      <c r="AD33" s="13"/>
      <c r="AE33" s="14"/>
      <c r="AF33" s="13"/>
      <c r="AG33" s="14"/>
      <c r="AH33" s="27"/>
      <c r="AI33" s="13"/>
      <c r="AJ33" s="14"/>
      <c r="AK33" s="13"/>
      <c r="AL33" s="14"/>
      <c r="AM33" s="156"/>
      <c r="AN33" s="13"/>
      <c r="AO33" s="14"/>
      <c r="AP33" s="13"/>
      <c r="AQ33" s="14"/>
      <c r="AR33" s="47"/>
      <c r="AS33" s="47"/>
      <c r="AT33" s="47"/>
      <c r="AU33" s="47"/>
    </row>
    <row r="34" spans="2:47" x14ac:dyDescent="0.25">
      <c r="B34" s="145">
        <v>45959</v>
      </c>
      <c r="C34" s="146" t="s">
        <v>58</v>
      </c>
      <c r="D34" s="27"/>
      <c r="E34" s="13"/>
      <c r="F34" s="14"/>
      <c r="G34" s="13"/>
      <c r="H34" s="14"/>
      <c r="I34" s="27"/>
      <c r="J34" s="61"/>
      <c r="K34" s="161"/>
      <c r="L34" s="61"/>
      <c r="M34" s="161"/>
      <c r="N34" s="27"/>
      <c r="O34" s="13"/>
      <c r="P34" s="14"/>
      <c r="Q34" s="13"/>
      <c r="R34" s="14"/>
      <c r="S34" s="27"/>
      <c r="T34" s="13"/>
      <c r="U34" s="14"/>
      <c r="V34" s="152"/>
      <c r="W34" s="14"/>
      <c r="X34" s="27"/>
      <c r="Y34" s="13"/>
      <c r="Z34" s="14"/>
      <c r="AA34" s="13"/>
      <c r="AB34" s="14"/>
      <c r="AC34" s="27"/>
      <c r="AD34" s="13"/>
      <c r="AE34" s="14"/>
      <c r="AF34" s="13"/>
      <c r="AG34" s="14"/>
      <c r="AH34" s="27"/>
      <c r="AI34" s="13"/>
      <c r="AJ34" s="14"/>
      <c r="AK34" s="13"/>
      <c r="AL34" s="14"/>
      <c r="AM34" s="155"/>
      <c r="AN34" s="13"/>
      <c r="AO34" s="14"/>
      <c r="AP34" s="13"/>
      <c r="AQ34" s="14"/>
    </row>
    <row r="35" spans="2:47" x14ac:dyDescent="0.25">
      <c r="B35" s="145">
        <v>45960</v>
      </c>
      <c r="C35" s="146" t="s">
        <v>59</v>
      </c>
      <c r="D35" s="27"/>
      <c r="E35" s="13"/>
      <c r="F35" s="14"/>
      <c r="G35" s="13"/>
      <c r="H35" s="14"/>
      <c r="I35" s="27"/>
      <c r="J35" s="61"/>
      <c r="K35" s="161"/>
      <c r="L35" s="61"/>
      <c r="M35" s="161"/>
      <c r="N35" s="27"/>
      <c r="O35" s="13"/>
      <c r="P35" s="14"/>
      <c r="Q35" s="13"/>
      <c r="R35" s="14"/>
      <c r="S35" s="27"/>
      <c r="T35" s="13"/>
      <c r="U35" s="14"/>
      <c r="V35" s="96"/>
      <c r="W35" s="14"/>
      <c r="X35" s="27"/>
      <c r="Y35" s="13"/>
      <c r="Z35" s="14"/>
      <c r="AA35" s="13"/>
      <c r="AB35" s="14"/>
      <c r="AC35" s="27"/>
      <c r="AD35" s="13"/>
      <c r="AE35" s="14"/>
      <c r="AF35" s="13"/>
      <c r="AG35" s="14"/>
      <c r="AH35" s="27"/>
      <c r="AI35" s="13"/>
      <c r="AJ35" s="14"/>
      <c r="AK35" s="13"/>
      <c r="AL35" s="14"/>
      <c r="AN35" s="13"/>
      <c r="AO35" s="14"/>
      <c r="AP35" s="13"/>
      <c r="AQ35" s="14"/>
    </row>
    <row r="36" spans="2:47" ht="15.75" thickBot="1" x14ac:dyDescent="0.3">
      <c r="B36" s="145"/>
      <c r="C36" s="146"/>
      <c r="D36" s="27"/>
      <c r="E36" s="13"/>
      <c r="F36" s="14"/>
      <c r="G36" s="13"/>
      <c r="H36" s="14"/>
      <c r="I36" s="27"/>
      <c r="J36" s="33"/>
      <c r="K36" s="34"/>
      <c r="L36" s="13"/>
      <c r="M36" s="14"/>
      <c r="N36" s="27"/>
      <c r="O36" s="13"/>
      <c r="P36" s="14"/>
      <c r="Q36" s="13"/>
      <c r="R36" s="14"/>
      <c r="S36" s="27"/>
      <c r="T36" s="33"/>
      <c r="U36" s="34"/>
      <c r="V36" s="97"/>
      <c r="W36" s="34"/>
      <c r="X36" s="27"/>
      <c r="Y36" s="13"/>
      <c r="Z36" s="14"/>
      <c r="AA36" s="13"/>
      <c r="AB36" s="14"/>
      <c r="AC36" s="27"/>
      <c r="AD36" s="13"/>
      <c r="AE36" s="14"/>
      <c r="AF36" s="13"/>
      <c r="AG36" s="14"/>
      <c r="AH36" s="27"/>
      <c r="AI36" s="13"/>
      <c r="AJ36" s="14"/>
      <c r="AK36" s="13"/>
      <c r="AL36" s="14"/>
      <c r="AN36" s="13"/>
      <c r="AO36" s="14"/>
      <c r="AP36" s="13"/>
      <c r="AQ36" s="14"/>
    </row>
    <row r="37" spans="2:47" ht="15.75" thickBot="1" x14ac:dyDescent="0.3">
      <c r="D37" s="9"/>
      <c r="E37" s="147">
        <f t="shared" ref="E37:H37" si="1">SUM(E6:E36)</f>
        <v>0</v>
      </c>
      <c r="F37" s="148">
        <f t="shared" si="1"/>
        <v>0</v>
      </c>
      <c r="G37" s="149">
        <f t="shared" si="1"/>
        <v>0</v>
      </c>
      <c r="H37" s="147">
        <f t="shared" si="1"/>
        <v>0</v>
      </c>
      <c r="I37" s="150"/>
      <c r="J37" s="147">
        <f t="shared" ref="J37:L37" si="2">SUM(J6:J36)</f>
        <v>1857</v>
      </c>
      <c r="K37" s="148">
        <f t="shared" si="2"/>
        <v>26</v>
      </c>
      <c r="L37" s="149">
        <f t="shared" si="2"/>
        <v>1922</v>
      </c>
      <c r="M37" s="147">
        <f>SUM(M6:M36)</f>
        <v>29</v>
      </c>
      <c r="N37" s="150"/>
      <c r="O37" s="147">
        <f t="shared" ref="O37:R37" si="3">SUM(O6:O36)</f>
        <v>1205</v>
      </c>
      <c r="P37" s="148">
        <f t="shared" si="3"/>
        <v>29</v>
      </c>
      <c r="Q37" s="149">
        <f t="shared" si="3"/>
        <v>1549</v>
      </c>
      <c r="R37" s="147">
        <f t="shared" si="3"/>
        <v>30</v>
      </c>
      <c r="S37" s="150"/>
      <c r="T37" s="149">
        <f>SUM(T6:T36)</f>
        <v>1200</v>
      </c>
      <c r="U37" s="149">
        <f t="shared" ref="U37:W37" si="4">SUM(U6:U36)</f>
        <v>15</v>
      </c>
      <c r="V37" s="149">
        <f t="shared" si="4"/>
        <v>1216</v>
      </c>
      <c r="W37" s="147">
        <f t="shared" si="4"/>
        <v>18</v>
      </c>
      <c r="X37" s="150"/>
      <c r="Y37" s="147">
        <f t="shared" ref="Y37:AB37" si="5">SUM(Y6:Y36)</f>
        <v>1965</v>
      </c>
      <c r="Z37" s="148">
        <f t="shared" si="5"/>
        <v>28</v>
      </c>
      <c r="AA37" s="149">
        <f t="shared" si="5"/>
        <v>1899</v>
      </c>
      <c r="AB37" s="147">
        <f t="shared" si="5"/>
        <v>47</v>
      </c>
      <c r="AC37" s="150"/>
      <c r="AD37" s="147">
        <f>SUM(AD6:AD36)</f>
        <v>571</v>
      </c>
      <c r="AE37" s="148">
        <f t="shared" ref="AE37:AG37" si="6">SUM(AE6:AE36)</f>
        <v>16</v>
      </c>
      <c r="AF37" s="192">
        <f t="shared" si="6"/>
        <v>603</v>
      </c>
      <c r="AG37" s="147">
        <f t="shared" si="6"/>
        <v>13</v>
      </c>
      <c r="AH37" s="150"/>
      <c r="AI37" s="147">
        <f t="shared" ref="AI37:AL37" si="7">SUM(AI6:AI36)</f>
        <v>338</v>
      </c>
      <c r="AJ37" s="148">
        <f t="shared" si="7"/>
        <v>4</v>
      </c>
      <c r="AK37" s="149">
        <f t="shared" si="7"/>
        <v>223</v>
      </c>
      <c r="AL37" s="147">
        <f t="shared" si="7"/>
        <v>4</v>
      </c>
      <c r="AM37" s="151"/>
      <c r="AN37" s="147">
        <f t="shared" ref="AN37:AQ37" si="8">SUM(AN6:AN36)</f>
        <v>269</v>
      </c>
      <c r="AO37" s="148">
        <f t="shared" si="8"/>
        <v>1</v>
      </c>
      <c r="AP37" s="149">
        <f t="shared" si="8"/>
        <v>321</v>
      </c>
      <c r="AQ37" s="147">
        <f t="shared" si="8"/>
        <v>1</v>
      </c>
    </row>
    <row r="38" spans="2:47" ht="15.75" thickBot="1" x14ac:dyDescent="0.3">
      <c r="D38" s="9"/>
      <c r="E38" s="227">
        <f>SUM(E37:F37)</f>
        <v>0</v>
      </c>
      <c r="F38" s="228"/>
      <c r="G38" s="227">
        <f>SUM(G37:H37)</f>
        <v>0</v>
      </c>
      <c r="H38" s="228"/>
      <c r="I38" s="150"/>
      <c r="J38" s="227">
        <f>SUM(J37:K37)</f>
        <v>1883</v>
      </c>
      <c r="K38" s="228"/>
      <c r="L38" s="227">
        <f>SUM(L37+M37)</f>
        <v>1951</v>
      </c>
      <c r="M38" s="228"/>
      <c r="N38" s="150"/>
      <c r="O38" s="227">
        <f>SUM(O37:P37)</f>
        <v>1234</v>
      </c>
      <c r="P38" s="228"/>
      <c r="Q38" s="227">
        <f>SUM(Q37:R37)</f>
        <v>1579</v>
      </c>
      <c r="R38" s="228"/>
      <c r="S38" s="150"/>
      <c r="T38" s="227">
        <f>SUM(T37:U37)</f>
        <v>1215</v>
      </c>
      <c r="U38" s="228"/>
      <c r="V38" s="227">
        <f>SUM(V37+W37)</f>
        <v>1234</v>
      </c>
      <c r="W38" s="228"/>
      <c r="X38" s="150"/>
      <c r="Y38" s="227">
        <f>SUM(Y37:Z37)</f>
        <v>1993</v>
      </c>
      <c r="Z38" s="228"/>
      <c r="AA38" s="227">
        <f>SUM(AA37:AB37)</f>
        <v>1946</v>
      </c>
      <c r="AB38" s="228"/>
      <c r="AC38" s="150"/>
      <c r="AD38" s="227">
        <f>SUM(AD37:AE37)</f>
        <v>587</v>
      </c>
      <c r="AE38" s="228"/>
      <c r="AF38" s="227">
        <f>SUM(AF37:AG37)</f>
        <v>616</v>
      </c>
      <c r="AG38" s="228"/>
      <c r="AH38" s="150"/>
      <c r="AI38" s="227">
        <f>SUM(AI37:AJ37)</f>
        <v>342</v>
      </c>
      <c r="AJ38" s="228"/>
      <c r="AK38" s="227">
        <f>SUM(AK37:AL37)</f>
        <v>227</v>
      </c>
      <c r="AL38" s="228"/>
      <c r="AM38" s="151"/>
      <c r="AN38" s="227">
        <f>SUM(AN37:AO37)</f>
        <v>270</v>
      </c>
      <c r="AO38" s="228"/>
      <c r="AP38" s="227">
        <f>SUM(AP37:AQ37)</f>
        <v>322</v>
      </c>
      <c r="AQ38" s="228"/>
    </row>
    <row r="39" spans="2:47" ht="15.75" x14ac:dyDescent="0.25">
      <c r="D39" s="3"/>
      <c r="E39" s="3"/>
      <c r="F39" s="3"/>
      <c r="G39" s="3"/>
      <c r="H39" s="3"/>
      <c r="I39" s="3"/>
      <c r="J39" s="229"/>
      <c r="K39" s="229"/>
      <c r="L39" s="229"/>
      <c r="M39" s="229"/>
      <c r="N39" s="140"/>
      <c r="O39" s="140"/>
      <c r="P39" s="140"/>
      <c r="Q39" s="140"/>
      <c r="R39" s="140"/>
      <c r="S39" s="3"/>
      <c r="T39" s="229"/>
      <c r="U39" s="229"/>
      <c r="V39" s="229"/>
      <c r="W39" s="229"/>
      <c r="X39" s="3"/>
      <c r="Y39" s="229"/>
      <c r="Z39" s="229"/>
      <c r="AA39" s="229"/>
      <c r="AB39" s="229"/>
      <c r="AC39" s="65"/>
      <c r="AD39" s="179"/>
      <c r="AE39" s="179"/>
      <c r="AF39" s="179"/>
      <c r="AG39" s="179"/>
      <c r="AH39" s="179"/>
      <c r="AI39" s="229"/>
      <c r="AJ39" s="229"/>
      <c r="AK39" s="229"/>
      <c r="AL39" s="229"/>
      <c r="AN39" s="229"/>
      <c r="AO39" s="229"/>
      <c r="AP39" s="229"/>
      <c r="AQ39" s="229"/>
    </row>
    <row r="41" spans="2:47" hidden="1" x14ac:dyDescent="0.25">
      <c r="J41" s="1">
        <f>J38</f>
        <v>1883</v>
      </c>
      <c r="L41" s="1">
        <f>L38</f>
        <v>1951</v>
      </c>
      <c r="T41" s="1">
        <f>T38</f>
        <v>1215</v>
      </c>
      <c r="V41" s="1">
        <f>V38</f>
        <v>1234</v>
      </c>
      <c r="Y41" s="1">
        <f>Y38</f>
        <v>1993</v>
      </c>
      <c r="AA41" s="1">
        <f>AA38</f>
        <v>1946</v>
      </c>
      <c r="AI41" s="1">
        <f>AI38</f>
        <v>342</v>
      </c>
      <c r="AK41" s="1">
        <f>AK38</f>
        <v>227</v>
      </c>
      <c r="AN41" s="1">
        <f>AN38</f>
        <v>270</v>
      </c>
      <c r="AP41" s="1">
        <f>AP38</f>
        <v>322</v>
      </c>
    </row>
    <row r="42" spans="2:47" hidden="1" x14ac:dyDescent="0.25"/>
    <row r="43" spans="2:47" hidden="1" x14ac:dyDescent="0.25">
      <c r="V43" s="1" t="e">
        <f>#REF!</f>
        <v>#REF!</v>
      </c>
    </row>
  </sheetData>
  <mergeCells count="54">
    <mergeCell ref="AN39:AO39"/>
    <mergeCell ref="AP39:AQ39"/>
    <mergeCell ref="AN2:AQ2"/>
    <mergeCell ref="AN4:AQ4"/>
    <mergeCell ref="AN5:AO5"/>
    <mergeCell ref="AP5:AQ5"/>
    <mergeCell ref="AN38:AO38"/>
    <mergeCell ref="AP38:AQ38"/>
    <mergeCell ref="AI38:AJ38"/>
    <mergeCell ref="AK38:AL38"/>
    <mergeCell ref="AI39:AJ39"/>
    <mergeCell ref="AK39:AL39"/>
    <mergeCell ref="O4:R4"/>
    <mergeCell ref="O5:P5"/>
    <mergeCell ref="Q5:R5"/>
    <mergeCell ref="AI4:AL4"/>
    <mergeCell ref="AI5:AJ5"/>
    <mergeCell ref="AK5:AL5"/>
    <mergeCell ref="O38:P38"/>
    <mergeCell ref="Q38:R38"/>
    <mergeCell ref="AA5:AB5"/>
    <mergeCell ref="AD38:AE38"/>
    <mergeCell ref="AF38:AG38"/>
    <mergeCell ref="E38:F38"/>
    <mergeCell ref="G38:H38"/>
    <mergeCell ref="Y38:Z38"/>
    <mergeCell ref="AA38:AB38"/>
    <mergeCell ref="T39:U39"/>
    <mergeCell ref="Y39:Z39"/>
    <mergeCell ref="AA39:AB39"/>
    <mergeCell ref="T38:U38"/>
    <mergeCell ref="V38:W38"/>
    <mergeCell ref="V39:W39"/>
    <mergeCell ref="J39:K39"/>
    <mergeCell ref="L39:M39"/>
    <mergeCell ref="L38:M38"/>
    <mergeCell ref="J38:K38"/>
    <mergeCell ref="E4:H4"/>
    <mergeCell ref="E5:F5"/>
    <mergeCell ref="G5:H5"/>
    <mergeCell ref="Y5:Z5"/>
    <mergeCell ref="E2:R2"/>
    <mergeCell ref="J5:K5"/>
    <mergeCell ref="L5:M5"/>
    <mergeCell ref="AI2:AL2"/>
    <mergeCell ref="J4:M4"/>
    <mergeCell ref="T4:W4"/>
    <mergeCell ref="V5:W5"/>
    <mergeCell ref="Y4:AB4"/>
    <mergeCell ref="T5:U5"/>
    <mergeCell ref="AD4:AG4"/>
    <mergeCell ref="AD5:AE5"/>
    <mergeCell ref="AF5:AG5"/>
    <mergeCell ref="T2:AG2"/>
  </mergeCells>
  <pageMargins left="0.7" right="0.7" top="0.75" bottom="0.75" header="0.3" footer="0.3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P42"/>
  <sheetViews>
    <sheetView zoomScaleNormal="100" workbookViewId="0">
      <selection activeCell="N16" sqref="N16"/>
    </sheetView>
  </sheetViews>
  <sheetFormatPr defaultRowHeight="15" x14ac:dyDescent="0.25"/>
  <cols>
    <col min="1" max="1" width="9.140625" style="6" customWidth="1"/>
    <col min="2" max="2" width="0.7109375" style="6" customWidth="1"/>
    <col min="3" max="3" width="10.28515625" style="6" customWidth="1"/>
    <col min="4" max="4" width="13.28515625" style="6" bestFit="1" customWidth="1"/>
    <col min="5" max="5" width="10.7109375" style="6" customWidth="1"/>
    <col min="6" max="6" width="5" style="6" customWidth="1"/>
    <col min="7" max="7" width="10.7109375" style="6" customWidth="1"/>
    <col min="8" max="8" width="4.85546875" style="6" customWidth="1"/>
    <col min="9" max="10" width="10.7109375" style="6" customWidth="1"/>
    <col min="11" max="11" width="9.140625" style="6"/>
    <col min="12" max="12" width="14.140625" style="6" customWidth="1"/>
    <col min="13" max="13" width="45.42578125" style="6" customWidth="1"/>
    <col min="14" max="14" width="20.42578125" style="6" customWidth="1"/>
    <col min="15" max="15" width="27.7109375" style="73" customWidth="1"/>
    <col min="16" max="16" width="9.140625" style="73"/>
    <col min="17" max="16384" width="9.140625" style="6"/>
  </cols>
  <sheetData>
    <row r="3" spans="3:15" ht="15.75" thickBot="1" x14ac:dyDescent="0.3">
      <c r="I3" s="248" t="s">
        <v>36</v>
      </c>
      <c r="J3" s="248"/>
    </row>
    <row r="4" spans="3:15" ht="16.5" thickBot="1" x14ac:dyDescent="0.3">
      <c r="C4" s="17"/>
      <c r="D4" s="17"/>
      <c r="E4" s="249" t="s">
        <v>4</v>
      </c>
      <c r="F4" s="250"/>
      <c r="G4" s="251"/>
      <c r="H4" s="99"/>
      <c r="I4" s="252" t="s">
        <v>8</v>
      </c>
      <c r="J4" s="253"/>
      <c r="K4" s="255" t="s">
        <v>7</v>
      </c>
      <c r="L4" s="256"/>
      <c r="M4" s="246" t="s">
        <v>9</v>
      </c>
      <c r="N4" s="236" t="s">
        <v>21</v>
      </c>
      <c r="O4" s="236" t="s">
        <v>45</v>
      </c>
    </row>
    <row r="5" spans="3:15" ht="16.5" thickBot="1" x14ac:dyDescent="0.3">
      <c r="C5" s="39" t="s">
        <v>0</v>
      </c>
      <c r="D5" s="100" t="s">
        <v>1</v>
      </c>
      <c r="E5" s="102" t="s">
        <v>2</v>
      </c>
      <c r="F5" s="102" t="s">
        <v>35</v>
      </c>
      <c r="G5" s="102" t="s">
        <v>3</v>
      </c>
      <c r="H5" s="18" t="s">
        <v>35</v>
      </c>
      <c r="I5" s="18" t="s">
        <v>6</v>
      </c>
      <c r="J5" s="18" t="s">
        <v>5</v>
      </c>
      <c r="K5" s="257"/>
      <c r="L5" s="258"/>
      <c r="M5" s="247"/>
      <c r="N5" s="237"/>
      <c r="O5" s="237"/>
    </row>
    <row r="6" spans="3:15" ht="15.75" customHeight="1" thickBot="1" x14ac:dyDescent="0.3">
      <c r="C6" s="95">
        <v>45931</v>
      </c>
      <c r="D6" s="10"/>
      <c r="E6" s="50"/>
      <c r="F6" s="101"/>
      <c r="G6" s="50"/>
      <c r="H6" s="98"/>
      <c r="I6" s="51"/>
      <c r="J6" s="50"/>
      <c r="K6" s="240"/>
      <c r="L6" s="241"/>
      <c r="M6" s="63"/>
      <c r="N6" s="126"/>
      <c r="O6" s="126"/>
    </row>
    <row r="7" spans="3:15" ht="15.75" thickBot="1" x14ac:dyDescent="0.3">
      <c r="C7" s="95">
        <v>45932</v>
      </c>
      <c r="D7" s="13"/>
      <c r="E7" s="52"/>
      <c r="F7" s="101"/>
      <c r="G7" s="52"/>
      <c r="H7" s="52"/>
      <c r="I7" s="51"/>
      <c r="J7" s="187"/>
      <c r="K7" s="240"/>
      <c r="L7" s="241"/>
      <c r="M7" s="125"/>
      <c r="N7" s="126"/>
      <c r="O7" s="92"/>
    </row>
    <row r="8" spans="3:15" ht="15.75" thickBot="1" x14ac:dyDescent="0.3">
      <c r="C8" s="95">
        <v>45933</v>
      </c>
      <c r="D8" s="10"/>
      <c r="E8" s="196"/>
      <c r="F8" s="101"/>
      <c r="G8" s="196"/>
      <c r="H8" s="196"/>
      <c r="I8" s="51"/>
      <c r="J8" s="196"/>
      <c r="K8" s="240"/>
      <c r="L8" s="241"/>
      <c r="M8" s="112"/>
      <c r="N8" s="126"/>
      <c r="O8" s="168"/>
    </row>
    <row r="9" spans="3:15" ht="15.75" thickBot="1" x14ac:dyDescent="0.3">
      <c r="C9" s="95">
        <v>45934</v>
      </c>
      <c r="D9" s="54"/>
      <c r="E9" s="55"/>
      <c r="F9" s="101"/>
      <c r="G9" s="55"/>
      <c r="H9" s="55"/>
      <c r="I9" s="51"/>
      <c r="J9" s="171"/>
      <c r="K9" s="240"/>
      <c r="L9" s="241"/>
      <c r="M9" s="112"/>
      <c r="N9" s="126"/>
      <c r="O9" s="101"/>
    </row>
    <row r="10" spans="3:15" ht="15.75" thickBot="1" x14ac:dyDescent="0.3">
      <c r="C10" s="95">
        <v>45935</v>
      </c>
      <c r="D10" s="13"/>
      <c r="E10" s="55"/>
      <c r="F10" s="101"/>
      <c r="G10" s="55"/>
      <c r="H10" s="55"/>
      <c r="I10" s="51"/>
      <c r="J10" s="171"/>
      <c r="K10" s="240"/>
      <c r="L10" s="241"/>
      <c r="M10" s="125"/>
      <c r="N10" s="126"/>
      <c r="O10" s="104"/>
    </row>
    <row r="11" spans="3:15" x14ac:dyDescent="0.25">
      <c r="C11" s="95">
        <v>45936</v>
      </c>
      <c r="D11" s="54"/>
      <c r="E11" s="55"/>
      <c r="F11" s="101"/>
      <c r="G11" s="55"/>
      <c r="H11" s="55"/>
      <c r="I11" s="51"/>
      <c r="J11" s="171"/>
      <c r="K11" s="240"/>
      <c r="L11" s="241"/>
      <c r="M11" s="112"/>
      <c r="N11" s="126"/>
      <c r="O11" s="101"/>
    </row>
    <row r="12" spans="3:15" ht="15.75" customHeight="1" thickBot="1" x14ac:dyDescent="0.3">
      <c r="C12" s="95">
        <v>45937</v>
      </c>
      <c r="D12" s="13">
        <v>2</v>
      </c>
      <c r="E12" s="55">
        <v>1</v>
      </c>
      <c r="F12" s="101">
        <v>1</v>
      </c>
      <c r="G12" s="55">
        <v>0</v>
      </c>
      <c r="H12" s="55">
        <v>0</v>
      </c>
      <c r="I12" s="55"/>
      <c r="J12" s="55"/>
      <c r="K12" s="244" t="s">
        <v>65</v>
      </c>
      <c r="L12" s="245"/>
      <c r="M12" s="203" t="s">
        <v>66</v>
      </c>
      <c r="N12" s="127" t="s">
        <v>67</v>
      </c>
      <c r="O12" s="127"/>
    </row>
    <row r="13" spans="3:15" ht="15.75" customHeight="1" thickBot="1" x14ac:dyDescent="0.3">
      <c r="C13" s="95">
        <v>45938</v>
      </c>
      <c r="D13" s="10"/>
      <c r="E13" s="189"/>
      <c r="F13" s="101"/>
      <c r="G13" s="189"/>
      <c r="H13" s="189"/>
      <c r="I13" s="159"/>
      <c r="J13" s="189"/>
      <c r="K13" s="240"/>
      <c r="L13" s="241"/>
      <c r="M13" s="112"/>
      <c r="N13" s="126"/>
      <c r="O13" s="92"/>
    </row>
    <row r="14" spans="3:15" ht="15.75" customHeight="1" thickBot="1" x14ac:dyDescent="0.3">
      <c r="C14" s="95">
        <v>45939</v>
      </c>
      <c r="D14" s="10"/>
      <c r="E14" s="185"/>
      <c r="F14" s="101"/>
      <c r="G14" s="185"/>
      <c r="H14" s="185"/>
      <c r="I14" s="159"/>
      <c r="J14" s="185"/>
      <c r="K14" s="240"/>
      <c r="L14" s="241"/>
      <c r="M14" s="125"/>
      <c r="N14" s="126"/>
      <c r="O14" s="92"/>
    </row>
    <row r="15" spans="3:15" x14ac:dyDescent="0.25">
      <c r="C15" s="95">
        <v>45940</v>
      </c>
      <c r="D15" s="10">
        <v>2</v>
      </c>
      <c r="E15" s="103">
        <v>2</v>
      </c>
      <c r="F15" s="101">
        <v>0</v>
      </c>
      <c r="G15" s="103">
        <v>0</v>
      </c>
      <c r="H15" s="103">
        <v>0</v>
      </c>
      <c r="I15" s="57">
        <v>0</v>
      </c>
      <c r="J15" s="103">
        <v>0</v>
      </c>
      <c r="K15" s="240" t="s">
        <v>68</v>
      </c>
      <c r="L15" s="241"/>
      <c r="M15" s="112" t="s">
        <v>66</v>
      </c>
      <c r="N15" s="126" t="s">
        <v>67</v>
      </c>
      <c r="O15" s="92">
        <v>1</v>
      </c>
    </row>
    <row r="16" spans="3:15" ht="15.75" thickBot="1" x14ac:dyDescent="0.3">
      <c r="C16" s="95">
        <v>45941</v>
      </c>
      <c r="D16" s="54"/>
      <c r="E16" s="55"/>
      <c r="F16" s="101"/>
      <c r="G16" s="55"/>
      <c r="H16" s="55"/>
      <c r="I16" s="59"/>
      <c r="J16" s="55"/>
      <c r="K16" s="254"/>
      <c r="L16" s="254"/>
      <c r="M16" s="124"/>
      <c r="N16" s="92"/>
      <c r="O16" s="92"/>
    </row>
    <row r="17" spans="3:16" ht="15.75" thickBot="1" x14ac:dyDescent="0.3">
      <c r="C17" s="95">
        <v>45942</v>
      </c>
      <c r="D17" s="10"/>
      <c r="E17" s="117"/>
      <c r="F17" s="101"/>
      <c r="G17" s="117"/>
      <c r="H17" s="117"/>
      <c r="I17" s="57"/>
      <c r="J17" s="117"/>
      <c r="K17" s="240"/>
      <c r="L17" s="241"/>
      <c r="M17" s="125"/>
      <c r="N17" s="126"/>
      <c r="O17" s="104"/>
    </row>
    <row r="18" spans="3:16" x14ac:dyDescent="0.25">
      <c r="C18" s="95">
        <v>45943</v>
      </c>
      <c r="D18" s="10"/>
      <c r="E18" s="205"/>
      <c r="F18" s="101"/>
      <c r="G18" s="205"/>
      <c r="H18" s="205"/>
      <c r="I18" s="159"/>
      <c r="J18" s="205"/>
      <c r="K18" s="240"/>
      <c r="L18" s="241"/>
      <c r="M18" s="112"/>
      <c r="N18" s="126"/>
      <c r="O18" s="92"/>
    </row>
    <row r="19" spans="3:16" ht="15.75" thickBot="1" x14ac:dyDescent="0.3">
      <c r="C19" s="95">
        <v>45944</v>
      </c>
      <c r="D19" s="10"/>
      <c r="E19" s="197"/>
      <c r="F19" s="101"/>
      <c r="G19" s="197"/>
      <c r="H19" s="197"/>
      <c r="I19" s="51"/>
      <c r="J19" s="197"/>
      <c r="K19" s="240"/>
      <c r="L19" s="241"/>
      <c r="M19" s="112"/>
      <c r="N19" s="202"/>
      <c r="O19" s="92"/>
    </row>
    <row r="20" spans="3:16" ht="15.75" thickBot="1" x14ac:dyDescent="0.3">
      <c r="C20" s="95">
        <v>45945</v>
      </c>
      <c r="D20" s="13"/>
      <c r="E20" s="52"/>
      <c r="F20" s="101"/>
      <c r="G20" s="52"/>
      <c r="H20" s="52"/>
      <c r="I20" s="51"/>
      <c r="J20" s="206"/>
      <c r="K20" s="240"/>
      <c r="L20" s="241"/>
      <c r="M20" s="125"/>
      <c r="N20" s="126"/>
      <c r="O20" s="168"/>
    </row>
    <row r="21" spans="3:16" ht="15.75" thickBot="1" x14ac:dyDescent="0.3">
      <c r="C21" s="95">
        <v>45946</v>
      </c>
      <c r="D21" s="10"/>
      <c r="E21" s="206"/>
      <c r="F21" s="101"/>
      <c r="G21" s="206"/>
      <c r="H21" s="206"/>
      <c r="I21" s="51"/>
      <c r="J21" s="206"/>
      <c r="K21" s="240"/>
      <c r="L21" s="241"/>
      <c r="M21" s="112"/>
      <c r="N21" s="126"/>
      <c r="O21" s="92"/>
    </row>
    <row r="22" spans="3:16" ht="15.75" thickBot="1" x14ac:dyDescent="0.3">
      <c r="C22" s="95">
        <v>45947</v>
      </c>
      <c r="D22" s="54"/>
      <c r="E22" s="55"/>
      <c r="F22" s="101"/>
      <c r="G22" s="55"/>
      <c r="H22" s="55"/>
      <c r="I22" s="51"/>
      <c r="J22" s="204"/>
      <c r="K22" s="240"/>
      <c r="L22" s="241"/>
      <c r="M22" s="112"/>
      <c r="N22" s="126"/>
      <c r="O22" s="92"/>
    </row>
    <row r="23" spans="3:16" ht="15.75" thickBot="1" x14ac:dyDescent="0.3">
      <c r="C23" s="95">
        <v>45948</v>
      </c>
      <c r="D23" s="13"/>
      <c r="E23" s="131"/>
      <c r="F23" s="101"/>
      <c r="G23" s="131"/>
      <c r="H23" s="131"/>
      <c r="I23" s="52"/>
      <c r="J23" s="131"/>
      <c r="K23" s="254"/>
      <c r="L23" s="254"/>
      <c r="M23" s="112"/>
      <c r="N23" s="126"/>
      <c r="O23" s="168"/>
      <c r="P23" s="6"/>
    </row>
    <row r="24" spans="3:16" ht="15.75" thickBot="1" x14ac:dyDescent="0.3">
      <c r="C24" s="95">
        <v>45949</v>
      </c>
      <c r="D24" s="13"/>
      <c r="E24" s="207"/>
      <c r="F24" s="101"/>
      <c r="G24" s="207"/>
      <c r="H24" s="207"/>
      <c r="I24" s="52"/>
      <c r="J24" s="207"/>
      <c r="K24" s="254"/>
      <c r="L24" s="254"/>
      <c r="M24" s="112"/>
      <c r="N24" s="126"/>
      <c r="O24" s="92"/>
      <c r="P24" s="6"/>
    </row>
    <row r="25" spans="3:16" x14ac:dyDescent="0.25">
      <c r="C25" s="95">
        <v>45950</v>
      </c>
      <c r="D25" s="10"/>
      <c r="E25" s="207"/>
      <c r="F25" s="101"/>
      <c r="G25" s="207"/>
      <c r="H25" s="207"/>
      <c r="I25" s="159"/>
      <c r="J25" s="207"/>
      <c r="K25" s="240"/>
      <c r="L25" s="241"/>
      <c r="M25" s="125"/>
      <c r="N25" s="126"/>
      <c r="O25" s="92"/>
      <c r="P25" s="6"/>
    </row>
    <row r="26" spans="3:16" ht="16.5" customHeight="1" thickBot="1" x14ac:dyDescent="0.3">
      <c r="C26" s="95">
        <v>45951</v>
      </c>
      <c r="D26" s="13"/>
      <c r="E26" s="132"/>
      <c r="F26" s="101"/>
      <c r="G26" s="132"/>
      <c r="H26" s="132"/>
      <c r="I26" s="52"/>
      <c r="J26" s="132"/>
      <c r="K26" s="254"/>
      <c r="L26" s="254"/>
      <c r="M26" s="112"/>
      <c r="N26" s="92"/>
      <c r="O26" s="168"/>
      <c r="P26" s="6"/>
    </row>
    <row r="27" spans="3:16" x14ac:dyDescent="0.25">
      <c r="C27" s="95">
        <v>45952</v>
      </c>
      <c r="D27" s="13"/>
      <c r="E27" s="52"/>
      <c r="F27" s="101"/>
      <c r="G27" s="52"/>
      <c r="H27" s="52"/>
      <c r="I27" s="108"/>
      <c r="J27" s="108"/>
      <c r="K27" s="254"/>
      <c r="L27" s="254"/>
      <c r="M27" s="112"/>
      <c r="N27" s="126"/>
      <c r="O27" s="168"/>
      <c r="P27" s="6"/>
    </row>
    <row r="28" spans="3:16" ht="15.75" thickBot="1" x14ac:dyDescent="0.3">
      <c r="C28" s="95">
        <v>45953</v>
      </c>
      <c r="D28" s="10"/>
      <c r="E28" s="199"/>
      <c r="F28" s="101"/>
      <c r="G28" s="199"/>
      <c r="H28" s="199"/>
      <c r="I28" s="51"/>
      <c r="J28" s="199"/>
      <c r="K28" s="240"/>
      <c r="L28" s="241"/>
      <c r="M28" s="112"/>
      <c r="N28" s="202"/>
      <c r="O28" s="127"/>
      <c r="P28" s="6"/>
    </row>
    <row r="29" spans="3:16" x14ac:dyDescent="0.25">
      <c r="C29" s="95">
        <v>45954</v>
      </c>
      <c r="D29" s="13"/>
      <c r="E29" s="52"/>
      <c r="F29" s="101"/>
      <c r="G29" s="52"/>
      <c r="H29" s="52"/>
      <c r="I29" s="51"/>
      <c r="J29" s="199"/>
      <c r="K29" s="240"/>
      <c r="L29" s="241"/>
      <c r="M29" s="112"/>
      <c r="N29" s="126"/>
      <c r="O29" s="127"/>
      <c r="P29" s="6"/>
    </row>
    <row r="30" spans="3:16" x14ac:dyDescent="0.25">
      <c r="C30" s="95">
        <v>45955</v>
      </c>
      <c r="D30" s="13"/>
      <c r="E30" s="109"/>
      <c r="F30" s="101"/>
      <c r="G30" s="109"/>
      <c r="H30" s="109"/>
      <c r="I30" s="109"/>
      <c r="J30" s="109"/>
      <c r="K30" s="242"/>
      <c r="L30" s="243"/>
      <c r="M30" s="105"/>
      <c r="N30" s="104"/>
      <c r="O30" s="104"/>
      <c r="P30" s="6"/>
    </row>
    <row r="31" spans="3:16" x14ac:dyDescent="0.25">
      <c r="C31" s="95">
        <v>45956</v>
      </c>
      <c r="D31" s="54"/>
      <c r="E31" s="55"/>
      <c r="F31" s="101"/>
      <c r="G31" s="55"/>
      <c r="H31" s="55"/>
      <c r="I31" s="50"/>
      <c r="J31" s="50"/>
      <c r="K31" s="242"/>
      <c r="L31" s="243"/>
      <c r="M31" s="105"/>
      <c r="N31" s="104"/>
      <c r="O31" s="104"/>
      <c r="P31" s="6"/>
    </row>
    <row r="32" spans="3:16" ht="15.75" customHeight="1" x14ac:dyDescent="0.25">
      <c r="C32" s="95">
        <v>45957</v>
      </c>
      <c r="D32" s="13"/>
      <c r="E32" s="200"/>
      <c r="F32" s="101"/>
      <c r="G32" s="200"/>
      <c r="H32" s="200"/>
      <c r="I32" s="159"/>
      <c r="J32" s="200"/>
      <c r="K32" s="254"/>
      <c r="L32" s="254"/>
      <c r="M32" s="112"/>
      <c r="N32" s="127"/>
      <c r="O32" s="128"/>
    </row>
    <row r="33" spans="3:15" ht="15.75" customHeight="1" x14ac:dyDescent="0.25">
      <c r="C33" s="95">
        <v>45958</v>
      </c>
      <c r="D33" s="13"/>
      <c r="E33" s="50"/>
      <c r="F33" s="101"/>
      <c r="G33" s="50"/>
      <c r="H33" s="98"/>
      <c r="I33" s="50"/>
      <c r="J33" s="50"/>
      <c r="K33" s="240"/>
      <c r="L33" s="241"/>
      <c r="M33" s="112"/>
      <c r="N33" s="202"/>
      <c r="O33" s="168"/>
    </row>
    <row r="34" spans="3:15" ht="15.75" customHeight="1" x14ac:dyDescent="0.25">
      <c r="C34" s="95">
        <v>45959</v>
      </c>
      <c r="D34" s="13"/>
      <c r="E34" s="50"/>
      <c r="F34" s="101"/>
      <c r="G34" s="50"/>
      <c r="H34" s="98"/>
      <c r="I34" s="50"/>
      <c r="J34" s="50"/>
      <c r="K34" s="242"/>
      <c r="L34" s="243"/>
      <c r="M34" s="105"/>
      <c r="N34" s="104"/>
      <c r="O34" s="101"/>
    </row>
    <row r="35" spans="3:15" x14ac:dyDescent="0.25">
      <c r="C35" s="95">
        <v>45960</v>
      </c>
      <c r="D35" s="54"/>
      <c r="E35" s="55"/>
      <c r="F35" s="101"/>
      <c r="G35" s="55"/>
      <c r="H35" s="55"/>
      <c r="I35" s="195"/>
      <c r="J35" s="195"/>
      <c r="K35" s="242"/>
      <c r="L35" s="243"/>
      <c r="M35" s="105"/>
      <c r="N35" s="104"/>
      <c r="O35" s="104"/>
    </row>
    <row r="36" spans="3:15" ht="15.75" customHeight="1" x14ac:dyDescent="0.25">
      <c r="C36" s="95"/>
      <c r="D36" s="13"/>
      <c r="E36" s="55"/>
      <c r="F36" s="101"/>
      <c r="G36" s="55"/>
      <c r="H36" s="55"/>
      <c r="I36" s="55"/>
      <c r="J36" s="55"/>
      <c r="K36" s="244"/>
      <c r="L36" s="245"/>
      <c r="M36" s="113"/>
      <c r="N36" s="127"/>
      <c r="O36" s="127"/>
    </row>
    <row r="37" spans="3:15" x14ac:dyDescent="0.25">
      <c r="C37" s="95"/>
      <c r="D37" s="13"/>
      <c r="E37" s="133"/>
      <c r="F37" s="101"/>
      <c r="G37" s="133"/>
      <c r="H37" s="133"/>
      <c r="I37" s="133"/>
      <c r="J37" s="133"/>
      <c r="K37" s="240"/>
      <c r="L37" s="241"/>
      <c r="M37" s="112"/>
      <c r="N37" s="133"/>
      <c r="O37" s="168"/>
    </row>
    <row r="38" spans="3:15" x14ac:dyDescent="0.25">
      <c r="C38" s="95"/>
      <c r="D38" s="121"/>
      <c r="E38" s="55"/>
      <c r="F38" s="121"/>
      <c r="G38" s="55"/>
      <c r="H38" s="55"/>
      <c r="I38" s="55"/>
      <c r="J38" s="55"/>
      <c r="K38" s="242"/>
      <c r="L38" s="243"/>
      <c r="M38" s="58"/>
      <c r="N38" s="104"/>
      <c r="O38" s="104"/>
    </row>
    <row r="39" spans="3:15" ht="15.75" thickBot="1" x14ac:dyDescent="0.3">
      <c r="C39" s="123"/>
      <c r="D39" s="93"/>
      <c r="E39" s="94"/>
      <c r="F39" s="94"/>
      <c r="G39" s="94"/>
      <c r="H39" s="93"/>
      <c r="I39" s="93"/>
      <c r="J39" s="115"/>
      <c r="K39" s="238"/>
      <c r="L39" s="239"/>
      <c r="M39" s="122"/>
      <c r="N39" s="122"/>
      <c r="O39" s="122"/>
    </row>
    <row r="40" spans="3:15" ht="15.75" x14ac:dyDescent="0.25">
      <c r="C40" s="36"/>
    </row>
    <row r="41" spans="3:15" x14ac:dyDescent="0.25">
      <c r="C41" s="29"/>
    </row>
    <row r="42" spans="3:15" x14ac:dyDescent="0.25">
      <c r="C42" s="15"/>
    </row>
  </sheetData>
  <mergeCells count="41">
    <mergeCell ref="K29:L29"/>
    <mergeCell ref="K32:L32"/>
    <mergeCell ref="K31:L31"/>
    <mergeCell ref="K30:L30"/>
    <mergeCell ref="K28:L28"/>
    <mergeCell ref="K22:L22"/>
    <mergeCell ref="K21:L21"/>
    <mergeCell ref="K27:L27"/>
    <mergeCell ref="K26:L26"/>
    <mergeCell ref="K25:L25"/>
    <mergeCell ref="K23:L23"/>
    <mergeCell ref="K24:L24"/>
    <mergeCell ref="E4:G4"/>
    <mergeCell ref="I4:J4"/>
    <mergeCell ref="K16:L16"/>
    <mergeCell ref="K10:L10"/>
    <mergeCell ref="K4:L5"/>
    <mergeCell ref="K6:L6"/>
    <mergeCell ref="K9:L9"/>
    <mergeCell ref="K14:L14"/>
    <mergeCell ref="I3:J3"/>
    <mergeCell ref="K7:L7"/>
    <mergeCell ref="K8:L8"/>
    <mergeCell ref="K17:L17"/>
    <mergeCell ref="K20:L20"/>
    <mergeCell ref="O4:O5"/>
    <mergeCell ref="K39:L39"/>
    <mergeCell ref="K33:L33"/>
    <mergeCell ref="K38:L38"/>
    <mergeCell ref="K37:L37"/>
    <mergeCell ref="K36:L36"/>
    <mergeCell ref="K34:L34"/>
    <mergeCell ref="K35:L35"/>
    <mergeCell ref="M4:M5"/>
    <mergeCell ref="N4:N5"/>
    <mergeCell ref="K13:L13"/>
    <mergeCell ref="K15:L15"/>
    <mergeCell ref="K19:L19"/>
    <mergeCell ref="K18:L18"/>
    <mergeCell ref="K12:L12"/>
    <mergeCell ref="K11:L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M37"/>
  <sheetViews>
    <sheetView workbookViewId="0">
      <selection activeCell="B6" sqref="B6:B35"/>
    </sheetView>
  </sheetViews>
  <sheetFormatPr defaultRowHeight="15" x14ac:dyDescent="0.25"/>
  <cols>
    <col min="4" max="4" width="8.5703125" bestFit="1" customWidth="1"/>
    <col min="6" max="6" width="8.7109375" bestFit="1" customWidth="1"/>
    <col min="12" max="12" width="13.140625" bestFit="1" customWidth="1"/>
    <col min="13" max="13" width="13.7109375" bestFit="1" customWidth="1"/>
  </cols>
  <sheetData>
    <row r="3" spans="2:13" ht="15.75" thickBot="1" x14ac:dyDescent="0.3"/>
    <row r="4" spans="2:13" ht="16.5" thickBot="1" x14ac:dyDescent="0.3">
      <c r="B4" s="17"/>
      <c r="C4" s="17"/>
      <c r="D4" s="249" t="s">
        <v>4</v>
      </c>
      <c r="E4" s="250"/>
      <c r="F4" s="251"/>
      <c r="G4" s="99"/>
      <c r="H4" s="252" t="s">
        <v>8</v>
      </c>
      <c r="I4" s="253"/>
      <c r="J4" s="255" t="s">
        <v>7</v>
      </c>
      <c r="K4" s="256"/>
      <c r="L4" s="246" t="s">
        <v>9</v>
      </c>
      <c r="M4" s="236" t="s">
        <v>21</v>
      </c>
    </row>
    <row r="5" spans="2:13" ht="16.5" thickBot="1" x14ac:dyDescent="0.3">
      <c r="B5" s="39" t="s">
        <v>0</v>
      </c>
      <c r="C5" s="100" t="s">
        <v>1</v>
      </c>
      <c r="D5" s="102" t="s">
        <v>2</v>
      </c>
      <c r="E5" s="102" t="s">
        <v>35</v>
      </c>
      <c r="F5" s="102" t="s">
        <v>3</v>
      </c>
      <c r="G5" s="18" t="s">
        <v>35</v>
      </c>
      <c r="H5" s="18" t="s">
        <v>6</v>
      </c>
      <c r="I5" s="18" t="s">
        <v>5</v>
      </c>
      <c r="J5" s="257"/>
      <c r="K5" s="258"/>
      <c r="L5" s="247"/>
      <c r="M5" s="237"/>
    </row>
    <row r="6" spans="2:13" x14ac:dyDescent="0.25">
      <c r="B6" s="95">
        <v>45931</v>
      </c>
      <c r="C6" s="10"/>
      <c r="D6" s="118"/>
      <c r="E6" s="101"/>
      <c r="F6" s="118"/>
      <c r="G6" s="118"/>
      <c r="H6" s="51"/>
      <c r="I6" s="118"/>
      <c r="J6" s="240"/>
      <c r="K6" s="241"/>
      <c r="L6" s="112"/>
      <c r="M6" s="49"/>
    </row>
    <row r="7" spans="2:13" ht="15.75" thickBot="1" x14ac:dyDescent="0.3">
      <c r="B7" s="95">
        <v>45932</v>
      </c>
      <c r="C7" s="13"/>
      <c r="D7" s="52"/>
      <c r="E7" s="101"/>
      <c r="F7" s="52"/>
      <c r="G7" s="52"/>
      <c r="H7" s="118"/>
      <c r="I7" s="118"/>
      <c r="J7" s="254"/>
      <c r="K7" s="254"/>
      <c r="L7" s="53"/>
      <c r="M7" s="83"/>
    </row>
    <row r="8" spans="2:13" ht="15.75" thickBot="1" x14ac:dyDescent="0.3">
      <c r="B8" s="95">
        <v>45933</v>
      </c>
      <c r="C8" s="10"/>
      <c r="D8" s="118"/>
      <c r="E8" s="101"/>
      <c r="F8" s="118"/>
      <c r="G8" s="118"/>
      <c r="H8" s="51"/>
      <c r="I8" s="118"/>
      <c r="J8" s="240"/>
      <c r="K8" s="241"/>
      <c r="L8" s="112"/>
      <c r="M8" s="49"/>
    </row>
    <row r="9" spans="2:13" x14ac:dyDescent="0.25">
      <c r="B9" s="95">
        <v>45934</v>
      </c>
      <c r="C9" s="54"/>
      <c r="D9" s="55"/>
      <c r="E9" s="101"/>
      <c r="F9" s="55"/>
      <c r="G9" s="55"/>
      <c r="H9" s="55"/>
      <c r="I9" s="55"/>
      <c r="J9" s="240"/>
      <c r="K9" s="241"/>
      <c r="L9" s="112"/>
      <c r="M9" s="49"/>
    </row>
    <row r="10" spans="2:13" x14ac:dyDescent="0.25">
      <c r="B10" s="95">
        <v>45935</v>
      </c>
      <c r="C10" s="13"/>
      <c r="D10" s="55"/>
      <c r="E10" s="101"/>
      <c r="F10" s="55"/>
      <c r="G10" s="55"/>
      <c r="H10" s="55"/>
      <c r="I10" s="55"/>
      <c r="J10" s="254"/>
      <c r="K10" s="254"/>
      <c r="L10" s="119"/>
      <c r="M10" s="56"/>
    </row>
    <row r="11" spans="2:13" x14ac:dyDescent="0.25">
      <c r="B11" s="95">
        <v>45936</v>
      </c>
      <c r="C11" s="13"/>
      <c r="D11" s="55"/>
      <c r="E11" s="101"/>
      <c r="F11" s="55"/>
      <c r="G11" s="55"/>
      <c r="H11" s="55"/>
      <c r="I11" s="55"/>
      <c r="J11" s="254"/>
      <c r="K11" s="254"/>
      <c r="L11" s="119"/>
      <c r="M11" s="106"/>
    </row>
    <row r="12" spans="2:13" x14ac:dyDescent="0.25">
      <c r="B12" s="95">
        <v>45937</v>
      </c>
      <c r="C12" s="10"/>
      <c r="D12" s="118"/>
      <c r="E12" s="101"/>
      <c r="F12" s="118"/>
      <c r="G12" s="118"/>
      <c r="H12" s="57"/>
      <c r="I12" s="118"/>
      <c r="J12" s="259"/>
      <c r="K12" s="259"/>
      <c r="L12" s="105"/>
      <c r="M12" s="104"/>
    </row>
    <row r="13" spans="2:13" x14ac:dyDescent="0.25">
      <c r="B13" s="95">
        <v>45938</v>
      </c>
      <c r="C13" s="10"/>
      <c r="D13" s="118"/>
      <c r="E13" s="101"/>
      <c r="F13" s="118"/>
      <c r="G13" s="118"/>
      <c r="H13" s="57"/>
      <c r="I13" s="118"/>
      <c r="J13" s="254"/>
      <c r="K13" s="254"/>
      <c r="L13" s="112"/>
      <c r="M13" s="104"/>
    </row>
    <row r="14" spans="2:13" x14ac:dyDescent="0.25">
      <c r="B14" s="95">
        <v>45939</v>
      </c>
      <c r="C14" s="54"/>
      <c r="D14" s="55"/>
      <c r="E14" s="101"/>
      <c r="F14" s="55"/>
      <c r="G14" s="55"/>
      <c r="H14" s="59"/>
      <c r="I14" s="55"/>
      <c r="J14" s="260"/>
      <c r="K14" s="260"/>
      <c r="L14" s="110"/>
      <c r="M14" s="83"/>
    </row>
    <row r="15" spans="2:13" x14ac:dyDescent="0.25">
      <c r="B15" s="95">
        <v>45940</v>
      </c>
      <c r="C15" s="10"/>
      <c r="D15" s="118"/>
      <c r="E15" s="101"/>
      <c r="F15" s="118"/>
      <c r="G15" s="118"/>
      <c r="H15" s="57"/>
      <c r="I15" s="118"/>
      <c r="J15" s="254"/>
      <c r="K15" s="254"/>
      <c r="L15" s="112"/>
      <c r="M15" s="104"/>
    </row>
    <row r="16" spans="2:13" x14ac:dyDescent="0.25">
      <c r="B16" s="95">
        <v>45941</v>
      </c>
      <c r="C16" s="54"/>
      <c r="D16" s="55"/>
      <c r="E16" s="101"/>
      <c r="F16" s="55"/>
      <c r="G16" s="55"/>
      <c r="H16" s="59"/>
      <c r="I16" s="55"/>
      <c r="J16" s="259"/>
      <c r="K16" s="259"/>
      <c r="L16" s="105"/>
      <c r="M16" s="92"/>
    </row>
    <row r="17" spans="2:13" x14ac:dyDescent="0.25">
      <c r="B17" s="95">
        <v>45942</v>
      </c>
      <c r="C17" s="13"/>
      <c r="D17" s="118"/>
      <c r="E17" s="101"/>
      <c r="F17" s="118"/>
      <c r="G17" s="118"/>
      <c r="H17" s="52"/>
      <c r="I17" s="118"/>
      <c r="J17" s="259"/>
      <c r="K17" s="259"/>
      <c r="L17" s="110"/>
      <c r="M17" s="92"/>
    </row>
    <row r="18" spans="2:13" x14ac:dyDescent="0.25">
      <c r="B18" s="95">
        <v>45943</v>
      </c>
      <c r="C18" s="13"/>
      <c r="D18" s="118"/>
      <c r="E18" s="101"/>
      <c r="F18" s="118"/>
      <c r="G18" s="118"/>
      <c r="H18" s="52"/>
      <c r="I18" s="118"/>
      <c r="J18" s="259"/>
      <c r="K18" s="259"/>
      <c r="L18" s="110"/>
      <c r="M18" s="92"/>
    </row>
    <row r="19" spans="2:13" ht="15.75" thickBot="1" x14ac:dyDescent="0.3">
      <c r="B19" s="95">
        <v>45944</v>
      </c>
      <c r="C19" s="61"/>
      <c r="D19" s="64"/>
      <c r="E19" s="101"/>
      <c r="F19" s="64"/>
      <c r="G19" s="64"/>
      <c r="H19" s="62"/>
      <c r="I19" s="64"/>
      <c r="J19" s="259"/>
      <c r="K19" s="259"/>
      <c r="L19" s="105"/>
      <c r="M19" s="92"/>
    </row>
    <row r="20" spans="2:13" x14ac:dyDescent="0.25">
      <c r="B20" s="95">
        <v>45945</v>
      </c>
      <c r="C20" s="61"/>
      <c r="D20" s="64"/>
      <c r="E20" s="101"/>
      <c r="F20" s="64"/>
      <c r="G20" s="64"/>
      <c r="H20" s="62"/>
      <c r="I20" s="64"/>
      <c r="J20" s="240"/>
      <c r="K20" s="241"/>
      <c r="L20" s="112"/>
      <c r="M20" s="49"/>
    </row>
    <row r="21" spans="2:13" x14ac:dyDescent="0.25">
      <c r="B21" s="95">
        <v>45946</v>
      </c>
      <c r="C21" s="13"/>
      <c r="D21" s="118"/>
      <c r="E21" s="101"/>
      <c r="F21" s="118"/>
      <c r="G21" s="118"/>
      <c r="H21" s="118"/>
      <c r="I21" s="118"/>
      <c r="J21" s="259"/>
      <c r="K21" s="259"/>
      <c r="L21" s="105"/>
      <c r="M21" s="92"/>
    </row>
    <row r="22" spans="2:13" x14ac:dyDescent="0.25">
      <c r="B22" s="95">
        <v>45947</v>
      </c>
      <c r="C22" s="13"/>
      <c r="D22" s="118"/>
      <c r="E22" s="101"/>
      <c r="F22" s="118"/>
      <c r="G22" s="118"/>
      <c r="H22" s="118"/>
      <c r="I22" s="118"/>
      <c r="J22" s="242"/>
      <c r="K22" s="243"/>
      <c r="L22" s="91"/>
      <c r="M22" s="56"/>
    </row>
    <row r="23" spans="2:13" x14ac:dyDescent="0.25">
      <c r="B23" s="95">
        <v>45948</v>
      </c>
      <c r="C23" s="13"/>
      <c r="D23" s="118"/>
      <c r="E23" s="101"/>
      <c r="F23" s="118"/>
      <c r="G23" s="118"/>
      <c r="H23" s="118"/>
      <c r="I23" s="118"/>
      <c r="J23" s="242"/>
      <c r="K23" s="243"/>
      <c r="L23" s="112"/>
      <c r="M23" s="56"/>
    </row>
    <row r="24" spans="2:13" x14ac:dyDescent="0.25">
      <c r="B24" s="95">
        <v>45949</v>
      </c>
      <c r="C24" s="13"/>
      <c r="D24" s="118"/>
      <c r="E24" s="101"/>
      <c r="F24" s="118"/>
      <c r="G24" s="118"/>
      <c r="H24" s="118"/>
      <c r="I24" s="118"/>
      <c r="J24" s="242"/>
      <c r="K24" s="243"/>
      <c r="L24" s="112"/>
      <c r="M24" s="56"/>
    </row>
    <row r="25" spans="2:13" ht="15.75" thickBot="1" x14ac:dyDescent="0.3">
      <c r="B25" s="95">
        <v>45950</v>
      </c>
      <c r="C25" s="13"/>
      <c r="D25" s="52"/>
      <c r="E25" s="101"/>
      <c r="F25" s="52"/>
      <c r="G25" s="52"/>
      <c r="H25" s="118"/>
      <c r="I25" s="118"/>
      <c r="J25" s="254"/>
      <c r="K25" s="254"/>
      <c r="L25" s="105"/>
      <c r="M25" s="92"/>
    </row>
    <row r="26" spans="2:13" x14ac:dyDescent="0.25">
      <c r="B26" s="95">
        <v>45951</v>
      </c>
      <c r="C26" s="10"/>
      <c r="D26" s="118"/>
      <c r="E26" s="101"/>
      <c r="F26" s="118"/>
      <c r="G26" s="118"/>
      <c r="H26" s="51"/>
      <c r="I26" s="118"/>
      <c r="J26" s="240"/>
      <c r="K26" s="241"/>
      <c r="L26" s="112"/>
      <c r="M26" s="49"/>
    </row>
    <row r="27" spans="2:13" x14ac:dyDescent="0.25">
      <c r="B27" s="95">
        <v>45952</v>
      </c>
      <c r="C27" s="61"/>
      <c r="D27" s="64"/>
      <c r="E27" s="101"/>
      <c r="F27" s="64"/>
      <c r="G27" s="64"/>
      <c r="H27" s="62"/>
      <c r="I27" s="64"/>
      <c r="J27" s="242"/>
      <c r="K27" s="243"/>
      <c r="L27" s="105"/>
      <c r="M27" s="92"/>
    </row>
    <row r="28" spans="2:13" x14ac:dyDescent="0.25">
      <c r="B28" s="95">
        <v>45953</v>
      </c>
      <c r="C28" s="13"/>
      <c r="D28" s="118"/>
      <c r="E28" s="101"/>
      <c r="F28" s="118"/>
      <c r="G28" s="118"/>
      <c r="H28" s="118"/>
      <c r="I28" s="118"/>
      <c r="J28" s="242"/>
      <c r="K28" s="243"/>
      <c r="L28" s="91"/>
      <c r="M28" s="56"/>
    </row>
    <row r="29" spans="2:13" x14ac:dyDescent="0.25">
      <c r="B29" s="95">
        <v>45954</v>
      </c>
      <c r="C29" s="54"/>
      <c r="D29" s="55"/>
      <c r="E29" s="101"/>
      <c r="F29" s="55"/>
      <c r="G29" s="55"/>
      <c r="H29" s="118"/>
      <c r="I29" s="118"/>
      <c r="J29" s="240"/>
      <c r="K29" s="241"/>
      <c r="L29" s="110"/>
      <c r="M29" s="56"/>
    </row>
    <row r="30" spans="2:13" ht="15.75" thickBot="1" x14ac:dyDescent="0.3">
      <c r="B30" s="95">
        <v>45955</v>
      </c>
      <c r="C30" s="54"/>
      <c r="D30" s="55"/>
      <c r="E30" s="101"/>
      <c r="F30" s="55"/>
      <c r="G30" s="55"/>
      <c r="H30" s="59"/>
      <c r="I30" s="55"/>
      <c r="J30" s="259"/>
      <c r="K30" s="259"/>
      <c r="L30" s="112"/>
      <c r="M30" s="60"/>
    </row>
    <row r="31" spans="2:13" ht="15.75" thickBot="1" x14ac:dyDescent="0.3">
      <c r="B31" s="95">
        <v>45956</v>
      </c>
      <c r="C31" s="13"/>
      <c r="D31" s="118"/>
      <c r="E31" s="101"/>
      <c r="F31" s="118"/>
      <c r="G31" s="118"/>
      <c r="H31" s="118"/>
      <c r="I31" s="118"/>
      <c r="J31" s="240"/>
      <c r="K31" s="241"/>
      <c r="L31" s="112"/>
      <c r="M31" s="49"/>
    </row>
    <row r="32" spans="2:13" x14ac:dyDescent="0.25">
      <c r="B32" s="95">
        <v>45957</v>
      </c>
      <c r="C32" s="13"/>
      <c r="D32" s="118"/>
      <c r="E32" s="101"/>
      <c r="F32" s="118"/>
      <c r="G32" s="118"/>
      <c r="H32" s="118"/>
      <c r="I32" s="118"/>
      <c r="J32" s="240"/>
      <c r="K32" s="241"/>
      <c r="L32" s="112"/>
      <c r="M32" s="49"/>
    </row>
    <row r="33" spans="2:13" x14ac:dyDescent="0.25">
      <c r="B33" s="95">
        <v>45958</v>
      </c>
      <c r="C33" s="13"/>
      <c r="D33" s="55"/>
      <c r="E33" s="101"/>
      <c r="F33" s="55"/>
      <c r="G33" s="55"/>
      <c r="H33" s="55"/>
      <c r="I33" s="55"/>
      <c r="J33" s="254"/>
      <c r="K33" s="254"/>
      <c r="L33" s="119"/>
      <c r="M33" s="106"/>
    </row>
    <row r="34" spans="2:13" x14ac:dyDescent="0.25">
      <c r="B34" s="95">
        <v>45959</v>
      </c>
      <c r="C34" s="13"/>
      <c r="D34" s="55"/>
      <c r="E34" s="101"/>
      <c r="F34" s="55"/>
      <c r="G34" s="55"/>
      <c r="H34" s="55"/>
      <c r="I34" s="55"/>
      <c r="J34" s="163"/>
      <c r="K34" s="164"/>
      <c r="L34" s="165"/>
      <c r="M34" s="106"/>
    </row>
    <row r="35" spans="2:13" x14ac:dyDescent="0.25">
      <c r="B35" s="95">
        <v>45960</v>
      </c>
      <c r="C35" s="54"/>
      <c r="D35" s="55"/>
      <c r="E35" s="101"/>
      <c r="F35" s="55"/>
      <c r="G35" s="55"/>
      <c r="H35" s="118"/>
      <c r="I35" s="118"/>
      <c r="J35" s="263"/>
      <c r="K35" s="264"/>
      <c r="L35" s="64"/>
      <c r="M35" s="56"/>
    </row>
    <row r="36" spans="2:13" x14ac:dyDescent="0.25">
      <c r="B36" s="95"/>
      <c r="C36" s="13"/>
      <c r="D36" s="55"/>
      <c r="E36" s="101"/>
      <c r="F36" s="55"/>
      <c r="G36" s="55"/>
      <c r="H36" s="55"/>
      <c r="I36" s="55"/>
      <c r="J36" s="259"/>
      <c r="K36" s="259"/>
      <c r="L36" s="58"/>
      <c r="M36" s="56"/>
    </row>
    <row r="37" spans="2:13" ht="15.75" thickBot="1" x14ac:dyDescent="0.3">
      <c r="B37" s="95"/>
      <c r="C37" s="93">
        <f t="shared" ref="C37:I37" si="0">SUM(C6:C36)</f>
        <v>0</v>
      </c>
      <c r="D37" s="94">
        <f t="shared" si="0"/>
        <v>0</v>
      </c>
      <c r="E37" s="94">
        <f t="shared" si="0"/>
        <v>0</v>
      </c>
      <c r="F37" s="94">
        <f t="shared" si="0"/>
        <v>0</v>
      </c>
      <c r="G37" s="93">
        <f t="shared" si="0"/>
        <v>0</v>
      </c>
      <c r="H37" s="93">
        <f t="shared" si="0"/>
        <v>0</v>
      </c>
      <c r="I37" s="115">
        <f t="shared" si="0"/>
        <v>0</v>
      </c>
      <c r="J37" s="261"/>
      <c r="K37" s="262"/>
      <c r="L37" s="116"/>
      <c r="M37" s="116"/>
    </row>
  </sheetData>
  <mergeCells count="36">
    <mergeCell ref="J37:K37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5:K35"/>
    <mergeCell ref="J36:K36"/>
    <mergeCell ref="J24:K24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M4:M5"/>
    <mergeCell ref="J6:K6"/>
    <mergeCell ref="J12:K12"/>
    <mergeCell ref="D4:F4"/>
    <mergeCell ref="H4:I4"/>
    <mergeCell ref="J4:K5"/>
    <mergeCell ref="L4:L5"/>
    <mergeCell ref="J7:K7"/>
    <mergeCell ref="J8:K8"/>
    <mergeCell ref="J9:K9"/>
    <mergeCell ref="J10:K10"/>
    <mergeCell ref="J11:K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L40"/>
  <sheetViews>
    <sheetView zoomScaleNormal="100" workbookViewId="0">
      <selection activeCell="C7" sqref="C7:C36"/>
    </sheetView>
  </sheetViews>
  <sheetFormatPr defaultRowHeight="15" x14ac:dyDescent="0.25"/>
  <cols>
    <col min="1" max="1" width="9.140625" style="6" customWidth="1"/>
    <col min="2" max="2" width="0.7109375" style="6" customWidth="1"/>
    <col min="3" max="3" width="16.85546875" style="6" customWidth="1"/>
    <col min="4" max="4" width="13.28515625" style="6" bestFit="1" customWidth="1"/>
    <col min="5" max="6" width="10.7109375" style="73" customWidth="1"/>
    <col min="7" max="8" width="10.7109375" style="6" customWidth="1"/>
    <col min="9" max="9" width="9.140625" style="6"/>
    <col min="10" max="10" width="14.140625" style="6" customWidth="1"/>
    <col min="11" max="11" width="45.42578125" style="73" customWidth="1"/>
    <col min="12" max="12" width="13.7109375" style="83" bestFit="1" customWidth="1"/>
    <col min="13" max="16384" width="9.140625" style="6"/>
  </cols>
  <sheetData>
    <row r="4" spans="3:12" ht="15.75" thickBot="1" x14ac:dyDescent="0.3">
      <c r="G4" s="248"/>
      <c r="H4" s="248"/>
    </row>
    <row r="5" spans="3:12" ht="16.5" thickBot="1" x14ac:dyDescent="0.3">
      <c r="C5" s="17"/>
      <c r="D5" s="17"/>
      <c r="E5" s="273" t="s">
        <v>4</v>
      </c>
      <c r="F5" s="274"/>
      <c r="G5" s="252" t="s">
        <v>8</v>
      </c>
      <c r="H5" s="253"/>
      <c r="I5" s="255" t="s">
        <v>7</v>
      </c>
      <c r="J5" s="256"/>
      <c r="K5" s="246" t="s">
        <v>9</v>
      </c>
      <c r="L5" s="236" t="s">
        <v>21</v>
      </c>
    </row>
    <row r="6" spans="3:12" ht="16.5" thickBot="1" x14ac:dyDescent="0.3">
      <c r="C6" s="39" t="s">
        <v>0</v>
      </c>
      <c r="D6" s="39" t="s">
        <v>1</v>
      </c>
      <c r="E6" s="78" t="s">
        <v>2</v>
      </c>
      <c r="F6" s="79" t="s">
        <v>3</v>
      </c>
      <c r="G6" s="18" t="s">
        <v>6</v>
      </c>
      <c r="H6" s="18" t="s">
        <v>5</v>
      </c>
      <c r="I6" s="275"/>
      <c r="J6" s="276"/>
      <c r="K6" s="279"/>
      <c r="L6" s="284"/>
    </row>
    <row r="7" spans="3:12" ht="15.75" customHeight="1" x14ac:dyDescent="0.25">
      <c r="C7" s="95">
        <v>45931</v>
      </c>
      <c r="D7" s="37"/>
      <c r="E7" s="46"/>
      <c r="F7" s="46"/>
      <c r="G7" s="23"/>
      <c r="H7" s="22"/>
      <c r="I7" s="277"/>
      <c r="J7" s="278"/>
      <c r="K7" s="107"/>
      <c r="L7" s="26"/>
    </row>
    <row r="8" spans="3:12" x14ac:dyDescent="0.25">
      <c r="C8" s="95">
        <v>45932</v>
      </c>
      <c r="D8" s="188"/>
      <c r="E8" s="80"/>
      <c r="F8" s="80"/>
      <c r="G8" s="19"/>
      <c r="H8" s="19"/>
      <c r="I8" s="267"/>
      <c r="J8" s="268"/>
      <c r="K8" s="107"/>
      <c r="L8" s="26"/>
    </row>
    <row r="9" spans="3:12" x14ac:dyDescent="0.25">
      <c r="C9" s="95">
        <v>45933</v>
      </c>
      <c r="D9" s="188"/>
      <c r="E9" s="20"/>
      <c r="F9" s="20"/>
      <c r="G9" s="20"/>
      <c r="H9" s="20"/>
      <c r="I9" s="282"/>
      <c r="J9" s="283"/>
      <c r="K9" s="107"/>
      <c r="L9" s="26"/>
    </row>
    <row r="10" spans="3:12" x14ac:dyDescent="0.25">
      <c r="C10" s="95">
        <v>45934</v>
      </c>
      <c r="D10" s="188"/>
      <c r="E10" s="80"/>
      <c r="F10" s="80"/>
      <c r="G10" s="19"/>
      <c r="H10" s="19"/>
      <c r="I10" s="267"/>
      <c r="J10" s="268"/>
      <c r="K10" s="107"/>
      <c r="L10" s="26"/>
    </row>
    <row r="11" spans="3:12" ht="15.75" customHeight="1" x14ac:dyDescent="0.25">
      <c r="C11" s="95">
        <v>45935</v>
      </c>
      <c r="D11" s="188"/>
      <c r="E11" s="20"/>
      <c r="F11" s="20"/>
      <c r="G11" s="20"/>
      <c r="H11" s="20"/>
      <c r="I11" s="282"/>
      <c r="J11" s="283"/>
      <c r="K11" s="107"/>
      <c r="L11" s="26"/>
    </row>
    <row r="12" spans="3:12" ht="15.75" customHeight="1" x14ac:dyDescent="0.25">
      <c r="C12" s="95">
        <v>45936</v>
      </c>
      <c r="D12" s="188"/>
      <c r="E12" s="20"/>
      <c r="F12" s="20"/>
      <c r="G12" s="20"/>
      <c r="H12" s="20"/>
      <c r="I12" s="282"/>
      <c r="J12" s="283"/>
      <c r="K12" s="107"/>
      <c r="L12" s="26"/>
    </row>
    <row r="13" spans="3:12" x14ac:dyDescent="0.25">
      <c r="C13" s="95">
        <v>45937</v>
      </c>
      <c r="D13" s="130"/>
      <c r="E13" s="20"/>
      <c r="F13" s="20"/>
      <c r="G13" s="24"/>
      <c r="H13" s="26"/>
      <c r="I13" s="282"/>
      <c r="J13" s="283"/>
      <c r="K13" s="107"/>
      <c r="L13" s="26"/>
    </row>
    <row r="14" spans="3:12" x14ac:dyDescent="0.25">
      <c r="C14" s="95">
        <v>45938</v>
      </c>
      <c r="D14" s="89"/>
      <c r="E14" s="74"/>
      <c r="F14" s="20"/>
      <c r="G14" s="25"/>
      <c r="H14" s="20"/>
      <c r="I14" s="269"/>
      <c r="J14" s="270"/>
      <c r="K14" s="107"/>
      <c r="L14" s="26"/>
    </row>
    <row r="15" spans="3:12" x14ac:dyDescent="0.25">
      <c r="C15" s="95">
        <v>45939</v>
      </c>
      <c r="D15" s="48"/>
      <c r="E15" s="74"/>
      <c r="F15" s="20"/>
      <c r="G15" s="24"/>
      <c r="H15" s="19"/>
      <c r="I15" s="267"/>
      <c r="J15" s="268"/>
      <c r="K15" s="90"/>
      <c r="L15" s="21"/>
    </row>
    <row r="16" spans="3:12" x14ac:dyDescent="0.25">
      <c r="C16" s="95">
        <v>45940</v>
      </c>
      <c r="D16" s="48"/>
      <c r="E16" s="20"/>
      <c r="F16" s="75"/>
      <c r="G16" s="19"/>
      <c r="H16" s="26"/>
      <c r="I16" s="267"/>
      <c r="J16" s="268"/>
      <c r="K16" s="107"/>
      <c r="L16" s="19"/>
    </row>
    <row r="17" spans="3:12" x14ac:dyDescent="0.25">
      <c r="C17" s="95">
        <v>45941</v>
      </c>
      <c r="D17" s="48"/>
      <c r="E17" s="75"/>
      <c r="F17" s="74"/>
      <c r="G17" s="26"/>
      <c r="H17" s="12"/>
      <c r="I17" s="267"/>
      <c r="J17" s="268"/>
      <c r="K17" s="107"/>
      <c r="L17" s="19"/>
    </row>
    <row r="18" spans="3:12" x14ac:dyDescent="0.25">
      <c r="C18" s="95">
        <v>45942</v>
      </c>
      <c r="D18" s="48"/>
      <c r="E18" s="75"/>
      <c r="F18" s="74"/>
      <c r="G18" s="26"/>
      <c r="H18" s="12"/>
      <c r="I18" s="267"/>
      <c r="J18" s="272"/>
      <c r="K18" s="107"/>
      <c r="L18" s="26"/>
    </row>
    <row r="19" spans="3:12" x14ac:dyDescent="0.25">
      <c r="C19" s="95">
        <v>45943</v>
      </c>
      <c r="D19" s="48"/>
      <c r="E19" s="75"/>
      <c r="F19" s="74"/>
      <c r="G19" s="26"/>
      <c r="H19" s="12"/>
      <c r="I19" s="280"/>
      <c r="J19" s="281"/>
      <c r="K19" s="107"/>
      <c r="L19" s="26"/>
    </row>
    <row r="20" spans="3:12" ht="16.5" customHeight="1" x14ac:dyDescent="0.25">
      <c r="C20" s="95">
        <v>45944</v>
      </c>
      <c r="D20" s="111"/>
      <c r="E20" s="75"/>
      <c r="F20" s="74"/>
      <c r="G20" s="26"/>
      <c r="H20" s="12"/>
      <c r="I20" s="267"/>
      <c r="J20" s="268"/>
      <c r="K20" s="107"/>
      <c r="L20" s="26"/>
    </row>
    <row r="21" spans="3:12" x14ac:dyDescent="0.25">
      <c r="C21" s="95">
        <v>45945</v>
      </c>
      <c r="D21" s="48"/>
      <c r="E21" s="75"/>
      <c r="F21" s="74"/>
      <c r="G21" s="26"/>
      <c r="H21" s="12"/>
      <c r="I21" s="267"/>
      <c r="J21" s="268"/>
      <c r="K21" s="107"/>
      <c r="L21" s="26"/>
    </row>
    <row r="22" spans="3:12" x14ac:dyDescent="0.25">
      <c r="C22" s="95">
        <v>45946</v>
      </c>
      <c r="D22" s="48"/>
      <c r="E22" s="75"/>
      <c r="F22" s="74"/>
      <c r="G22" s="26"/>
      <c r="H22" s="12"/>
      <c r="I22" s="269"/>
      <c r="J22" s="270"/>
      <c r="K22" s="107"/>
      <c r="L22" s="26"/>
    </row>
    <row r="23" spans="3:12" x14ac:dyDescent="0.25">
      <c r="C23" s="95">
        <v>45947</v>
      </c>
      <c r="D23" s="48"/>
      <c r="E23" s="75"/>
      <c r="F23" s="74"/>
      <c r="G23" s="26"/>
      <c r="H23" s="12"/>
      <c r="I23" s="269"/>
      <c r="J23" s="270"/>
      <c r="K23" s="107"/>
      <c r="L23" s="26"/>
    </row>
    <row r="24" spans="3:12" ht="15.75" customHeight="1" x14ac:dyDescent="0.25">
      <c r="C24" s="95">
        <v>45948</v>
      </c>
      <c r="D24" s="48"/>
      <c r="E24" s="75"/>
      <c r="F24" s="74"/>
      <c r="G24" s="26"/>
      <c r="H24" s="12"/>
      <c r="I24" s="269"/>
      <c r="J24" s="270"/>
      <c r="K24" s="107"/>
      <c r="L24" s="26"/>
    </row>
    <row r="25" spans="3:12" ht="15.75" customHeight="1" x14ac:dyDescent="0.25">
      <c r="C25" s="95">
        <v>45949</v>
      </c>
      <c r="D25" s="72"/>
      <c r="E25" s="75"/>
      <c r="F25" s="74"/>
      <c r="G25" s="26"/>
      <c r="H25" s="12"/>
      <c r="I25" s="267"/>
      <c r="J25" s="268"/>
      <c r="K25" s="107"/>
      <c r="L25" s="26"/>
    </row>
    <row r="26" spans="3:12" ht="15.75" customHeight="1" x14ac:dyDescent="0.25">
      <c r="C26" s="95">
        <v>45950</v>
      </c>
      <c r="D26" s="48"/>
      <c r="E26" s="75"/>
      <c r="F26" s="74"/>
      <c r="G26" s="26"/>
      <c r="H26" s="12"/>
      <c r="I26" s="267"/>
      <c r="J26" s="268"/>
      <c r="K26" s="90"/>
      <c r="L26" s="26"/>
    </row>
    <row r="27" spans="3:12" x14ac:dyDescent="0.25">
      <c r="C27" s="95">
        <v>45951</v>
      </c>
      <c r="D27" s="48"/>
      <c r="E27" s="75"/>
      <c r="F27" s="74"/>
      <c r="G27" s="26"/>
      <c r="H27" s="12"/>
      <c r="I27" s="267"/>
      <c r="J27" s="268"/>
      <c r="K27" s="90"/>
      <c r="L27" s="26"/>
    </row>
    <row r="28" spans="3:12" ht="15.75" customHeight="1" x14ac:dyDescent="0.25">
      <c r="C28" s="95">
        <v>45952</v>
      </c>
      <c r="D28" s="48"/>
      <c r="E28" s="74"/>
      <c r="F28" s="20"/>
      <c r="G28" s="24"/>
      <c r="H28" s="19"/>
      <c r="I28" s="267"/>
      <c r="J28" s="268"/>
      <c r="K28" s="107"/>
      <c r="L28" s="21"/>
    </row>
    <row r="29" spans="3:12" ht="15.75" customHeight="1" x14ac:dyDescent="0.25">
      <c r="C29" s="95">
        <v>45953</v>
      </c>
      <c r="D29" s="198"/>
      <c r="E29" s="74"/>
      <c r="F29" s="20"/>
      <c r="G29" s="24"/>
      <c r="H29" s="19"/>
      <c r="I29" s="267"/>
      <c r="J29" s="268"/>
      <c r="K29" s="107"/>
      <c r="L29" s="21"/>
    </row>
    <row r="30" spans="3:12" x14ac:dyDescent="0.25">
      <c r="C30" s="95">
        <v>45954</v>
      </c>
      <c r="D30" s="48"/>
      <c r="E30" s="74"/>
      <c r="F30" s="20"/>
      <c r="G30" s="24"/>
      <c r="H30" s="19"/>
      <c r="I30" s="267"/>
      <c r="J30" s="268"/>
      <c r="K30" s="107"/>
      <c r="L30" s="21"/>
    </row>
    <row r="31" spans="3:12" x14ac:dyDescent="0.25">
      <c r="C31" s="95">
        <v>45955</v>
      </c>
      <c r="D31" s="114"/>
      <c r="E31" s="74"/>
      <c r="F31" s="20"/>
      <c r="G31" s="24"/>
      <c r="H31" s="19"/>
      <c r="I31" s="267"/>
      <c r="J31" s="268"/>
      <c r="K31" s="107"/>
      <c r="L31" s="21"/>
    </row>
    <row r="32" spans="3:12" x14ac:dyDescent="0.25">
      <c r="C32" s="95">
        <v>45956</v>
      </c>
      <c r="D32" s="194"/>
      <c r="E32" s="74"/>
      <c r="F32" s="20"/>
      <c r="G32" s="24"/>
      <c r="H32" s="19"/>
      <c r="I32" s="267"/>
      <c r="J32" s="268"/>
      <c r="K32" s="90"/>
      <c r="L32" s="21"/>
    </row>
    <row r="33" spans="3:12" x14ac:dyDescent="0.25">
      <c r="C33" s="95">
        <v>45957</v>
      </c>
      <c r="D33" s="194"/>
      <c r="E33" s="74"/>
      <c r="F33" s="20"/>
      <c r="G33" s="24"/>
      <c r="H33" s="19"/>
      <c r="I33" s="267"/>
      <c r="J33" s="268"/>
      <c r="K33" s="90"/>
      <c r="L33" s="21"/>
    </row>
    <row r="34" spans="3:12" x14ac:dyDescent="0.25">
      <c r="C34" s="95">
        <v>45958</v>
      </c>
      <c r="D34" s="194"/>
      <c r="E34" s="74"/>
      <c r="F34" s="20"/>
      <c r="G34" s="24"/>
      <c r="H34" s="19"/>
      <c r="I34" s="267"/>
      <c r="J34" s="268"/>
      <c r="K34" s="107"/>
      <c r="L34" s="21"/>
    </row>
    <row r="35" spans="3:12" ht="15.75" customHeight="1" x14ac:dyDescent="0.25">
      <c r="C35" s="95">
        <v>45959</v>
      </c>
      <c r="D35" s="38"/>
      <c r="E35" s="20"/>
      <c r="F35" s="20"/>
      <c r="G35" s="20"/>
      <c r="H35" s="20"/>
      <c r="I35" s="271"/>
      <c r="J35" s="272"/>
      <c r="K35" s="107"/>
      <c r="L35" s="24"/>
    </row>
    <row r="36" spans="3:12" ht="15.75" customHeight="1" x14ac:dyDescent="0.25">
      <c r="C36" s="95">
        <v>45960</v>
      </c>
      <c r="D36" s="38"/>
      <c r="E36" s="20"/>
      <c r="F36" s="20"/>
      <c r="G36" s="20"/>
      <c r="H36" s="20"/>
      <c r="I36" s="267"/>
      <c r="J36" s="268"/>
      <c r="K36" s="107"/>
      <c r="L36" s="24"/>
    </row>
    <row r="37" spans="3:12" ht="15.75" customHeight="1" thickBot="1" x14ac:dyDescent="0.3">
      <c r="C37" s="95"/>
      <c r="D37" s="48"/>
      <c r="E37" s="75"/>
      <c r="F37" s="75"/>
      <c r="G37" s="19"/>
      <c r="H37" s="40"/>
      <c r="I37" s="265"/>
      <c r="J37" s="266"/>
      <c r="K37" s="76"/>
      <c r="L37" s="84"/>
    </row>
    <row r="38" spans="3:12" ht="16.5" thickBot="1" x14ac:dyDescent="0.3">
      <c r="C38" s="36"/>
      <c r="D38" s="16">
        <f>SUM(D7:D36)</f>
        <v>0</v>
      </c>
      <c r="E38" s="81">
        <f>SUM(E7:E36)</f>
        <v>0</v>
      </c>
      <c r="F38" s="82">
        <f>SUM(F7:F36)</f>
        <v>0</v>
      </c>
      <c r="G38" s="16">
        <f>SUM(G7:G36)</f>
        <v>0</v>
      </c>
      <c r="H38" s="16">
        <f>SUM(H7:H36)</f>
        <v>0</v>
      </c>
      <c r="I38" s="15"/>
      <c r="J38" s="15"/>
      <c r="K38" s="77"/>
    </row>
    <row r="39" spans="3:12" x14ac:dyDescent="0.25">
      <c r="C39" s="29"/>
    </row>
    <row r="40" spans="3:12" x14ac:dyDescent="0.25">
      <c r="C40" s="15"/>
    </row>
  </sheetData>
  <mergeCells count="37">
    <mergeCell ref="L5:L6"/>
    <mergeCell ref="I12:J12"/>
    <mergeCell ref="G4:H4"/>
    <mergeCell ref="I9:J9"/>
    <mergeCell ref="I10:J10"/>
    <mergeCell ref="I11:J11"/>
    <mergeCell ref="I20:J20"/>
    <mergeCell ref="I21:J21"/>
    <mergeCell ref="I22:J22"/>
    <mergeCell ref="I23:J23"/>
    <mergeCell ref="K5:K6"/>
    <mergeCell ref="I18:J18"/>
    <mergeCell ref="I19:J19"/>
    <mergeCell ref="I13:J13"/>
    <mergeCell ref="I14:J14"/>
    <mergeCell ref="I15:J15"/>
    <mergeCell ref="I16:J16"/>
    <mergeCell ref="I17:J17"/>
    <mergeCell ref="E5:F5"/>
    <mergeCell ref="G5:H5"/>
    <mergeCell ref="I5:J6"/>
    <mergeCell ref="I7:J7"/>
    <mergeCell ref="I8:J8"/>
    <mergeCell ref="I37:J37"/>
    <mergeCell ref="I36:J36"/>
    <mergeCell ref="I24:J24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5:J2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37"/>
  <sheetViews>
    <sheetView zoomScale="90" zoomScaleNormal="90" zoomScaleSheetLayoutView="80" workbookViewId="0">
      <selection activeCell="M21" sqref="M21"/>
    </sheetView>
  </sheetViews>
  <sheetFormatPr defaultColWidth="9.140625" defaultRowHeight="15" x14ac:dyDescent="0.25"/>
  <cols>
    <col min="1" max="16384" width="9.140625" style="41"/>
  </cols>
  <sheetData>
    <row r="1" spans="2:11" x14ac:dyDescent="0.25">
      <c r="K1" s="137"/>
    </row>
    <row r="2" spans="2:11" x14ac:dyDescent="0.25">
      <c r="K2" s="137"/>
    </row>
    <row r="3" spans="2:11" x14ac:dyDescent="0.25">
      <c r="K3" s="137"/>
    </row>
    <row r="9" spans="2:11" ht="15" customHeight="1" x14ac:dyDescent="0.25">
      <c r="B9" s="285" t="s">
        <v>62</v>
      </c>
      <c r="C9" s="285"/>
      <c r="D9" s="285"/>
      <c r="E9" s="285"/>
      <c r="F9" s="285"/>
      <c r="G9" s="285"/>
      <c r="H9" s="285"/>
      <c r="I9" s="285"/>
    </row>
    <row r="10" spans="2:11" ht="15" customHeight="1" x14ac:dyDescent="0.25">
      <c r="B10" s="285"/>
      <c r="C10" s="285"/>
      <c r="D10" s="285"/>
      <c r="E10" s="285"/>
      <c r="F10" s="285"/>
      <c r="G10" s="285"/>
      <c r="H10" s="285"/>
      <c r="I10" s="285"/>
    </row>
    <row r="11" spans="2:11" ht="15" customHeight="1" x14ac:dyDescent="0.25">
      <c r="B11" s="285"/>
      <c r="C11" s="285"/>
      <c r="D11" s="285"/>
      <c r="E11" s="285"/>
      <c r="F11" s="285"/>
      <c r="G11" s="285"/>
      <c r="H11" s="285"/>
      <c r="I11" s="285"/>
    </row>
    <row r="14" spans="2:11" x14ac:dyDescent="0.25">
      <c r="B14" s="42"/>
      <c r="C14" s="286" t="s">
        <v>22</v>
      </c>
      <c r="D14" s="286"/>
      <c r="E14" s="286"/>
      <c r="F14" s="286" t="s">
        <v>18</v>
      </c>
      <c r="G14" s="286"/>
      <c r="H14" s="286" t="s">
        <v>23</v>
      </c>
      <c r="I14" s="286"/>
    </row>
    <row r="15" spans="2:11" ht="11.25" customHeight="1" x14ac:dyDescent="0.25">
      <c r="B15" s="42"/>
      <c r="C15" s="42"/>
      <c r="D15" s="42"/>
      <c r="E15" s="42"/>
      <c r="F15" s="42"/>
      <c r="G15" s="42"/>
      <c r="H15" s="42"/>
      <c r="I15" s="42"/>
    </row>
    <row r="16" spans="2:11" x14ac:dyDescent="0.25">
      <c r="B16" s="287" t="s">
        <v>24</v>
      </c>
      <c r="C16" s="287"/>
      <c r="D16" s="287"/>
      <c r="E16" s="287"/>
      <c r="F16" s="287"/>
      <c r="G16" s="287"/>
      <c r="H16" s="287"/>
      <c r="I16" s="287"/>
    </row>
    <row r="17" spans="2:9" ht="18" customHeight="1" x14ac:dyDescent="0.25">
      <c r="B17" s="43" t="s">
        <v>25</v>
      </c>
      <c r="C17" s="292" t="s">
        <v>27</v>
      </c>
      <c r="D17" s="292"/>
      <c r="E17" s="292"/>
      <c r="F17" s="292">
        <f>COUNTA('Redovni promet'!J6:J36)</f>
        <v>9</v>
      </c>
      <c r="G17" s="292"/>
      <c r="H17" s="292">
        <f>'Redovni promet'!J37</f>
        <v>1857</v>
      </c>
      <c r="I17" s="292"/>
    </row>
    <row r="18" spans="2:9" ht="18" customHeight="1" x14ac:dyDescent="0.25">
      <c r="B18" s="88" t="s">
        <v>34</v>
      </c>
      <c r="C18" s="292" t="s">
        <v>28</v>
      </c>
      <c r="D18" s="292"/>
      <c r="E18" s="292"/>
      <c r="F18" s="295">
        <f>COUNTA('Redovni promet'!E6:E36)</f>
        <v>0</v>
      </c>
      <c r="G18" s="295"/>
      <c r="H18" s="295">
        <f>'Redovni promet'!E37</f>
        <v>0</v>
      </c>
      <c r="I18" s="295"/>
    </row>
    <row r="19" spans="2:9" ht="18" customHeight="1" x14ac:dyDescent="0.25">
      <c r="B19" s="88" t="s">
        <v>40</v>
      </c>
      <c r="C19" s="292" t="s">
        <v>26</v>
      </c>
      <c r="D19" s="292"/>
      <c r="E19" s="292"/>
      <c r="F19" s="295">
        <f>COUNTA('Redovni promet'!O6:O36)</f>
        <v>6</v>
      </c>
      <c r="G19" s="295"/>
      <c r="H19" s="295">
        <f>'Redovni promet'!O37</f>
        <v>1205</v>
      </c>
      <c r="I19" s="295"/>
    </row>
    <row r="20" spans="2:9" ht="18" customHeight="1" x14ac:dyDescent="0.25">
      <c r="B20" s="129"/>
      <c r="C20" s="44"/>
      <c r="D20" s="44"/>
      <c r="E20" s="44"/>
      <c r="F20" s="296">
        <f>SUM(F17:G19)</f>
        <v>15</v>
      </c>
      <c r="G20" s="296"/>
      <c r="H20" s="296">
        <f>SUM(H17:I19)</f>
        <v>3062</v>
      </c>
      <c r="I20" s="296"/>
    </row>
    <row r="21" spans="2:9" ht="18.75" customHeight="1" x14ac:dyDescent="0.25">
      <c r="B21" s="44"/>
      <c r="C21" s="44"/>
      <c r="D21" s="44"/>
      <c r="E21" s="44"/>
      <c r="F21" s="44"/>
      <c r="G21" s="44"/>
      <c r="H21" s="44"/>
      <c r="I21" s="44"/>
    </row>
    <row r="22" spans="2:9" ht="18" customHeight="1" x14ac:dyDescent="0.25">
      <c r="B22" s="287" t="s">
        <v>32</v>
      </c>
      <c r="C22" s="287"/>
      <c r="D22" s="287"/>
      <c r="E22" s="287"/>
      <c r="F22" s="287"/>
      <c r="G22" s="287"/>
      <c r="H22" s="287"/>
      <c r="I22" s="287"/>
    </row>
    <row r="23" spans="2:9" ht="18" customHeight="1" x14ac:dyDescent="0.25">
      <c r="B23" s="43" t="s">
        <v>25</v>
      </c>
      <c r="C23" s="292" t="s">
        <v>26</v>
      </c>
      <c r="D23" s="292"/>
      <c r="E23" s="292"/>
      <c r="F23" s="292">
        <f>COUNTA('Redovni promet'!T6:T36)</f>
        <v>7</v>
      </c>
      <c r="G23" s="292"/>
      <c r="H23" s="292">
        <f>'Redovni promet'!T37</f>
        <v>1200</v>
      </c>
      <c r="I23" s="292"/>
    </row>
    <row r="24" spans="2:9" ht="18" customHeight="1" x14ac:dyDescent="0.25">
      <c r="B24" s="88" t="s">
        <v>34</v>
      </c>
      <c r="C24" s="292" t="s">
        <v>28</v>
      </c>
      <c r="D24" s="292"/>
      <c r="E24" s="292"/>
      <c r="F24" s="292">
        <f>COUNTA('Redovni promet'!Y6:Y36)</f>
        <v>11</v>
      </c>
      <c r="G24" s="292"/>
      <c r="H24" s="292">
        <f>'Redovni promet'!Y37</f>
        <v>1965</v>
      </c>
      <c r="I24" s="292"/>
    </row>
    <row r="25" spans="2:9" ht="18" customHeight="1" x14ac:dyDescent="0.25">
      <c r="B25" s="201" t="s">
        <v>40</v>
      </c>
      <c r="C25" s="292" t="s">
        <v>61</v>
      </c>
      <c r="D25" s="292"/>
      <c r="E25" s="292"/>
      <c r="F25" s="292">
        <f>COUNTA('Redovni promet'!AD6:AD36)</f>
        <v>4</v>
      </c>
      <c r="G25" s="292"/>
      <c r="H25" s="292">
        <f>'Redovni promet'!AD37</f>
        <v>571</v>
      </c>
      <c r="I25" s="292"/>
    </row>
    <row r="26" spans="2:9" x14ac:dyDescent="0.25">
      <c r="C26" s="293"/>
      <c r="D26" s="293"/>
      <c r="E26" s="293"/>
      <c r="F26" s="294">
        <f>SUM(F23:G24)</f>
        <v>18</v>
      </c>
      <c r="G26" s="294"/>
      <c r="H26" s="294">
        <f>SUM(H23:I25)</f>
        <v>3736</v>
      </c>
      <c r="I26" s="294"/>
    </row>
    <row r="27" spans="2:9" ht="18" customHeight="1" x14ac:dyDescent="0.25">
      <c r="C27" s="286"/>
      <c r="D27" s="286"/>
      <c r="E27" s="286"/>
      <c r="F27" s="286"/>
      <c r="G27" s="286"/>
      <c r="H27" s="289"/>
      <c r="I27" s="289"/>
    </row>
    <row r="28" spans="2:9" x14ac:dyDescent="0.25">
      <c r="C28" s="290" t="s">
        <v>29</v>
      </c>
      <c r="D28" s="290"/>
      <c r="E28" s="290"/>
      <c r="F28" s="291">
        <f>F20+F26</f>
        <v>33</v>
      </c>
      <c r="G28" s="291"/>
      <c r="H28" s="291">
        <f>H20+H26</f>
        <v>6798</v>
      </c>
      <c r="I28" s="291"/>
    </row>
    <row r="34" spans="2:4" x14ac:dyDescent="0.25">
      <c r="B34" s="288" t="s">
        <v>30</v>
      </c>
      <c r="C34" s="288"/>
      <c r="D34" s="288"/>
    </row>
    <row r="35" spans="2:4" x14ac:dyDescent="0.25">
      <c r="B35" s="45"/>
      <c r="C35" s="45"/>
      <c r="D35" s="45"/>
    </row>
    <row r="36" spans="2:4" x14ac:dyDescent="0.25">
      <c r="B36" s="288"/>
      <c r="C36" s="288"/>
      <c r="D36" s="288"/>
    </row>
    <row r="37" spans="2:4" x14ac:dyDescent="0.25">
      <c r="B37" s="41" t="s">
        <v>31</v>
      </c>
    </row>
  </sheetData>
  <mergeCells count="37">
    <mergeCell ref="B22:I22"/>
    <mergeCell ref="C23:E23"/>
    <mergeCell ref="F23:G23"/>
    <mergeCell ref="H23:I23"/>
    <mergeCell ref="C17:E17"/>
    <mergeCell ref="F17:G17"/>
    <mergeCell ref="H17:I17"/>
    <mergeCell ref="C18:E18"/>
    <mergeCell ref="F18:G18"/>
    <mergeCell ref="H18:I18"/>
    <mergeCell ref="F20:G20"/>
    <mergeCell ref="H20:I20"/>
    <mergeCell ref="C19:E19"/>
    <mergeCell ref="F19:G19"/>
    <mergeCell ref="H19:I19"/>
    <mergeCell ref="C24:E24"/>
    <mergeCell ref="F24:G24"/>
    <mergeCell ref="H24:I24"/>
    <mergeCell ref="C26:E26"/>
    <mergeCell ref="F26:G26"/>
    <mergeCell ref="H26:I26"/>
    <mergeCell ref="C25:E25"/>
    <mergeCell ref="F25:G25"/>
    <mergeCell ref="H25:I25"/>
    <mergeCell ref="B36:D36"/>
    <mergeCell ref="C27:E27"/>
    <mergeCell ref="F27:G27"/>
    <mergeCell ref="H27:I27"/>
    <mergeCell ref="C28:E28"/>
    <mergeCell ref="F28:G28"/>
    <mergeCell ref="H28:I28"/>
    <mergeCell ref="B34:D34"/>
    <mergeCell ref="B9:I11"/>
    <mergeCell ref="C14:E14"/>
    <mergeCell ref="F14:G14"/>
    <mergeCell ref="H14:I14"/>
    <mergeCell ref="B16:I16"/>
  </mergeCells>
  <pageMargins left="0.7" right="0.35416666666666669" top="0.75" bottom="0.75" header="0.3" footer="0.3"/>
  <pageSetup paperSize="9" orientation="portrait" r:id="rId1"/>
  <ignoredErrors>
    <ignoredError sqref="B17 B23:B24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40"/>
  <sheetViews>
    <sheetView zoomScale="90" zoomScaleNormal="90" zoomScaleSheetLayoutView="80" workbookViewId="0">
      <selection activeCell="M15" sqref="M15"/>
    </sheetView>
  </sheetViews>
  <sheetFormatPr defaultColWidth="9.140625" defaultRowHeight="15" x14ac:dyDescent="0.25"/>
  <cols>
    <col min="1" max="16384" width="9.140625" style="41"/>
  </cols>
  <sheetData>
    <row r="1" spans="2:11" x14ac:dyDescent="0.25">
      <c r="K1" s="137"/>
    </row>
    <row r="2" spans="2:11" x14ac:dyDescent="0.25">
      <c r="K2" s="137"/>
    </row>
    <row r="3" spans="2:11" x14ac:dyDescent="0.25">
      <c r="K3" s="137"/>
    </row>
    <row r="9" spans="2:11" x14ac:dyDescent="0.25">
      <c r="C9" s="297" t="s">
        <v>42</v>
      </c>
      <c r="D9" s="297"/>
      <c r="E9" s="297"/>
      <c r="F9" s="297"/>
      <c r="G9" s="297"/>
      <c r="H9" s="297"/>
    </row>
    <row r="10" spans="2:11" x14ac:dyDescent="0.25">
      <c r="C10" s="297"/>
      <c r="D10" s="297"/>
      <c r="E10" s="297"/>
      <c r="F10" s="297"/>
      <c r="G10" s="297"/>
      <c r="H10" s="297"/>
    </row>
    <row r="14" spans="2:11" ht="15" customHeight="1" x14ac:dyDescent="0.25">
      <c r="B14" s="285" t="s">
        <v>63</v>
      </c>
      <c r="C14" s="285"/>
      <c r="D14" s="285"/>
      <c r="E14" s="285"/>
      <c r="F14" s="285"/>
      <c r="G14" s="285"/>
      <c r="H14" s="285"/>
      <c r="I14" s="285"/>
    </row>
    <row r="15" spans="2:11" ht="15" customHeight="1" x14ac:dyDescent="0.25">
      <c r="B15" s="285"/>
      <c r="C15" s="285"/>
      <c r="D15" s="285"/>
      <c r="E15" s="285"/>
      <c r="F15" s="285"/>
      <c r="G15" s="285"/>
      <c r="H15" s="285"/>
      <c r="I15" s="285"/>
    </row>
    <row r="16" spans="2:11" ht="15" customHeight="1" x14ac:dyDescent="0.25">
      <c r="B16" s="285"/>
      <c r="C16" s="285"/>
      <c r="D16" s="285"/>
      <c r="E16" s="285"/>
      <c r="F16" s="285"/>
      <c r="G16" s="285"/>
      <c r="H16" s="285"/>
      <c r="I16" s="285"/>
    </row>
    <row r="20" spans="2:9" x14ac:dyDescent="0.25">
      <c r="B20" s="134"/>
      <c r="C20" s="286" t="s">
        <v>22</v>
      </c>
      <c r="D20" s="286"/>
      <c r="E20" s="286"/>
      <c r="F20" s="286" t="s">
        <v>18</v>
      </c>
      <c r="G20" s="286"/>
      <c r="H20" s="286" t="s">
        <v>23</v>
      </c>
      <c r="I20" s="286"/>
    </row>
    <row r="21" spans="2:9" ht="11.25" customHeight="1" x14ac:dyDescent="0.25">
      <c r="B21" s="134"/>
      <c r="C21" s="134"/>
      <c r="D21" s="134"/>
      <c r="E21" s="134"/>
      <c r="F21" s="134"/>
      <c r="G21" s="134"/>
      <c r="H21" s="134"/>
      <c r="I21" s="134"/>
    </row>
    <row r="22" spans="2:9" x14ac:dyDescent="0.25">
      <c r="B22" s="287"/>
      <c r="C22" s="287"/>
      <c r="D22" s="287"/>
      <c r="E22" s="287"/>
      <c r="F22" s="287"/>
      <c r="G22" s="287"/>
      <c r="H22" s="287"/>
      <c r="I22" s="287"/>
    </row>
    <row r="23" spans="2:9" ht="18" customHeight="1" x14ac:dyDescent="0.25">
      <c r="B23" s="136" t="s">
        <v>25</v>
      </c>
      <c r="C23" s="292" t="s">
        <v>39</v>
      </c>
      <c r="D23" s="292"/>
      <c r="E23" s="292"/>
      <c r="F23" s="292">
        <f>COUNTA('Redovni promet'!AI6:AI36)</f>
        <v>2</v>
      </c>
      <c r="G23" s="292"/>
      <c r="H23" s="292">
        <f>'Redovni promet'!AI37</f>
        <v>338</v>
      </c>
      <c r="I23" s="292"/>
    </row>
    <row r="24" spans="2:9" ht="18" customHeight="1" x14ac:dyDescent="0.25">
      <c r="B24" s="44"/>
      <c r="C24" s="44"/>
      <c r="D24" s="44"/>
      <c r="E24" s="44"/>
      <c r="F24" s="139"/>
      <c r="G24" s="139"/>
      <c r="H24" s="139"/>
      <c r="I24" s="139"/>
    </row>
    <row r="25" spans="2:9" ht="18" customHeight="1" x14ac:dyDescent="0.25">
      <c r="B25" s="129"/>
      <c r="C25" s="298" t="s">
        <v>29</v>
      </c>
      <c r="D25" s="298"/>
      <c r="E25" s="299"/>
      <c r="F25" s="300">
        <f>SUM(F23:G23)</f>
        <v>2</v>
      </c>
      <c r="G25" s="301"/>
      <c r="H25" s="300">
        <f>SUM(H23:I23)</f>
        <v>338</v>
      </c>
      <c r="I25" s="301"/>
    </row>
    <row r="26" spans="2:9" ht="18" customHeight="1" x14ac:dyDescent="0.25">
      <c r="B26" s="129"/>
      <c r="C26" s="44"/>
      <c r="D26" s="44"/>
      <c r="E26" s="44"/>
      <c r="F26" s="138"/>
      <c r="G26" s="138"/>
      <c r="H26" s="138"/>
      <c r="I26" s="138"/>
    </row>
    <row r="27" spans="2:9" ht="18" customHeight="1" x14ac:dyDescent="0.25">
      <c r="B27" s="129"/>
      <c r="C27" s="44"/>
      <c r="D27" s="44"/>
      <c r="E27" s="44"/>
      <c r="F27" s="138"/>
      <c r="G27" s="138"/>
      <c r="H27" s="138"/>
      <c r="I27" s="138"/>
    </row>
    <row r="28" spans="2:9" ht="18" customHeight="1" x14ac:dyDescent="0.25">
      <c r="B28" s="129"/>
      <c r="C28" s="44"/>
      <c r="D28" s="44"/>
      <c r="E28" s="44"/>
      <c r="F28" s="138"/>
      <c r="G28" s="138"/>
      <c r="H28" s="138"/>
      <c r="I28" s="138"/>
    </row>
    <row r="29" spans="2:9" ht="18" customHeight="1" x14ac:dyDescent="0.25">
      <c r="B29" s="129"/>
      <c r="C29" s="44"/>
      <c r="D29" s="44"/>
      <c r="E29" s="44"/>
      <c r="F29" s="138"/>
      <c r="G29" s="138"/>
      <c r="H29" s="138"/>
      <c r="I29" s="138"/>
    </row>
    <row r="30" spans="2:9" ht="18" customHeight="1" x14ac:dyDescent="0.25">
      <c r="B30" s="129"/>
      <c r="C30" s="44"/>
      <c r="D30" s="44"/>
      <c r="E30" s="44"/>
      <c r="F30" s="138"/>
      <c r="G30" s="138"/>
      <c r="H30" s="138"/>
      <c r="I30" s="138"/>
    </row>
    <row r="31" spans="2:9" ht="18.75" customHeight="1" x14ac:dyDescent="0.25">
      <c r="B31" s="44"/>
      <c r="C31" s="44"/>
      <c r="D31" s="44"/>
      <c r="E31" s="44"/>
      <c r="F31" s="44"/>
      <c r="G31" s="44"/>
      <c r="H31" s="44"/>
      <c r="I31" s="44"/>
    </row>
    <row r="37" spans="2:4" x14ac:dyDescent="0.25">
      <c r="B37" s="288" t="s">
        <v>30</v>
      </c>
      <c r="C37" s="288"/>
      <c r="D37" s="288"/>
    </row>
    <row r="38" spans="2:4" x14ac:dyDescent="0.25">
      <c r="B38" s="135"/>
      <c r="C38" s="135"/>
      <c r="D38" s="135"/>
    </row>
    <row r="39" spans="2:4" x14ac:dyDescent="0.25">
      <c r="B39" s="288"/>
      <c r="C39" s="288"/>
      <c r="D39" s="288"/>
    </row>
    <row r="40" spans="2:4" x14ac:dyDescent="0.25">
      <c r="B40" s="41" t="s">
        <v>31</v>
      </c>
    </row>
  </sheetData>
  <mergeCells count="14">
    <mergeCell ref="C9:H10"/>
    <mergeCell ref="B37:D37"/>
    <mergeCell ref="B39:D39"/>
    <mergeCell ref="C25:E25"/>
    <mergeCell ref="F25:G25"/>
    <mergeCell ref="H25:I25"/>
    <mergeCell ref="C23:E23"/>
    <mergeCell ref="F23:G23"/>
    <mergeCell ref="H23:I23"/>
    <mergeCell ref="B14:I16"/>
    <mergeCell ref="C20:E20"/>
    <mergeCell ref="F20:G20"/>
    <mergeCell ref="H20:I20"/>
    <mergeCell ref="B22:I22"/>
  </mergeCells>
  <pageMargins left="0.7" right="0.35416666666666669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7:T40"/>
  <sheetViews>
    <sheetView workbookViewId="0">
      <selection activeCell="X13" sqref="X13"/>
    </sheetView>
  </sheetViews>
  <sheetFormatPr defaultRowHeight="15" x14ac:dyDescent="0.25"/>
  <sheetData>
    <row r="7" spans="1:20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20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</row>
    <row r="9" spans="1:20" x14ac:dyDescent="0.25">
      <c r="A9" s="41"/>
      <c r="B9" s="41"/>
      <c r="C9" s="297" t="s">
        <v>46</v>
      </c>
      <c r="D9" s="297"/>
      <c r="E9" s="297"/>
      <c r="F9" s="297"/>
      <c r="G9" s="297"/>
      <c r="H9" s="297"/>
      <c r="I9" s="41"/>
      <c r="J9" s="41"/>
      <c r="K9" s="41"/>
    </row>
    <row r="10" spans="1:20" x14ac:dyDescent="0.25">
      <c r="A10" s="41"/>
      <c r="B10" s="41"/>
      <c r="C10" s="297"/>
      <c r="D10" s="297"/>
      <c r="E10" s="297"/>
      <c r="F10" s="297"/>
      <c r="G10" s="297"/>
      <c r="H10" s="297"/>
      <c r="I10" s="41"/>
      <c r="J10" s="41"/>
      <c r="K10" s="41"/>
    </row>
    <row r="11" spans="1:20" x14ac:dyDescent="0.2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</row>
    <row r="12" spans="1:20" x14ac:dyDescent="0.2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</row>
    <row r="13" spans="1:20" x14ac:dyDescent="0.2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</row>
    <row r="14" spans="1:20" x14ac:dyDescent="0.25">
      <c r="A14" s="41"/>
      <c r="B14" s="285" t="s">
        <v>63</v>
      </c>
      <c r="C14" s="285"/>
      <c r="D14" s="285"/>
      <c r="E14" s="285"/>
      <c r="F14" s="285"/>
      <c r="G14" s="285"/>
      <c r="H14" s="285"/>
      <c r="I14" s="285"/>
      <c r="J14" s="41"/>
      <c r="K14" s="41"/>
      <c r="M14" s="285" t="s">
        <v>64</v>
      </c>
      <c r="N14" s="285"/>
      <c r="O14" s="285"/>
      <c r="P14" s="285"/>
      <c r="Q14" s="285"/>
      <c r="R14" s="285"/>
      <c r="S14" s="285"/>
      <c r="T14" s="285"/>
    </row>
    <row r="15" spans="1:20" x14ac:dyDescent="0.25">
      <c r="A15" s="41"/>
      <c r="B15" s="285"/>
      <c r="C15" s="285"/>
      <c r="D15" s="285"/>
      <c r="E15" s="285"/>
      <c r="F15" s="285"/>
      <c r="G15" s="285"/>
      <c r="H15" s="285"/>
      <c r="I15" s="285"/>
      <c r="J15" s="41"/>
      <c r="K15" s="41"/>
      <c r="M15" s="285"/>
      <c r="N15" s="285"/>
      <c r="O15" s="285"/>
      <c r="P15" s="285"/>
      <c r="Q15" s="285"/>
      <c r="R15" s="285"/>
      <c r="S15" s="285"/>
      <c r="T15" s="285"/>
    </row>
    <row r="16" spans="1:20" x14ac:dyDescent="0.25">
      <c r="A16" s="41"/>
      <c r="B16" s="285"/>
      <c r="C16" s="285"/>
      <c r="D16" s="285"/>
      <c r="E16" s="285"/>
      <c r="F16" s="285"/>
      <c r="G16" s="285"/>
      <c r="H16" s="285"/>
      <c r="I16" s="285"/>
      <c r="J16" s="41"/>
      <c r="K16" s="41"/>
      <c r="M16" s="285"/>
      <c r="N16" s="285"/>
      <c r="O16" s="285"/>
      <c r="P16" s="285"/>
      <c r="Q16" s="285"/>
      <c r="R16" s="285"/>
      <c r="S16" s="285"/>
      <c r="T16" s="285"/>
    </row>
    <row r="17" spans="1:20" x14ac:dyDescent="0.25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</row>
    <row r="18" spans="1:20" x14ac:dyDescent="0.25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</row>
    <row r="19" spans="1:20" x14ac:dyDescent="0.25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</row>
    <row r="20" spans="1:20" x14ac:dyDescent="0.25">
      <c r="A20" s="41"/>
      <c r="B20" s="174"/>
      <c r="C20" s="286" t="s">
        <v>22</v>
      </c>
      <c r="D20" s="286"/>
      <c r="E20" s="286"/>
      <c r="F20" s="286" t="s">
        <v>18</v>
      </c>
      <c r="G20" s="286"/>
      <c r="H20" s="286" t="s">
        <v>23</v>
      </c>
      <c r="I20" s="286"/>
      <c r="J20" s="41"/>
      <c r="K20" s="41"/>
      <c r="N20" s="286" t="s">
        <v>22</v>
      </c>
      <c r="O20" s="286"/>
      <c r="P20" s="286"/>
      <c r="Q20" s="286" t="s">
        <v>18</v>
      </c>
      <c r="R20" s="286"/>
      <c r="S20" s="286" t="s">
        <v>23</v>
      </c>
      <c r="T20" s="286"/>
    </row>
    <row r="21" spans="1:20" x14ac:dyDescent="0.25">
      <c r="A21" s="41"/>
      <c r="B21" s="174"/>
      <c r="C21" s="174"/>
      <c r="D21" s="174"/>
      <c r="E21" s="174"/>
      <c r="F21" s="174"/>
      <c r="G21" s="174"/>
      <c r="H21" s="174"/>
      <c r="I21" s="174"/>
      <c r="J21" s="41"/>
      <c r="K21" s="41"/>
    </row>
    <row r="22" spans="1:20" x14ac:dyDescent="0.25">
      <c r="A22" s="41"/>
      <c r="B22" s="287"/>
      <c r="C22" s="287"/>
      <c r="D22" s="287"/>
      <c r="E22" s="287"/>
      <c r="F22" s="287"/>
      <c r="G22" s="287"/>
      <c r="H22" s="287"/>
      <c r="I22" s="287"/>
      <c r="J22" s="41"/>
      <c r="K22" s="41"/>
    </row>
    <row r="23" spans="1:20" x14ac:dyDescent="0.25">
      <c r="A23" s="41"/>
      <c r="B23" s="176" t="s">
        <v>25</v>
      </c>
      <c r="C23" s="292" t="s">
        <v>28</v>
      </c>
      <c r="D23" s="292"/>
      <c r="E23" s="292"/>
      <c r="F23" s="292"/>
      <c r="G23" s="292"/>
      <c r="H23" s="292"/>
      <c r="I23" s="292"/>
      <c r="J23" s="41"/>
      <c r="K23" s="41"/>
      <c r="M23" s="178" t="s">
        <v>25</v>
      </c>
      <c r="N23" s="292" t="s">
        <v>28</v>
      </c>
      <c r="O23" s="292"/>
      <c r="P23" s="292"/>
      <c r="Q23" s="292"/>
      <c r="R23" s="292"/>
      <c r="S23" s="292"/>
      <c r="T23" s="292"/>
    </row>
    <row r="24" spans="1:20" x14ac:dyDescent="0.25">
      <c r="A24" s="41"/>
      <c r="B24" s="177"/>
      <c r="C24" s="177"/>
      <c r="D24" s="177"/>
      <c r="E24" s="177"/>
      <c r="F24" s="139"/>
      <c r="G24" s="139"/>
      <c r="H24" s="139"/>
      <c r="I24" s="139"/>
      <c r="J24" s="41"/>
      <c r="K24" s="41"/>
      <c r="M24" s="178" t="s">
        <v>34</v>
      </c>
      <c r="N24" s="292" t="s">
        <v>47</v>
      </c>
      <c r="O24" s="292"/>
      <c r="P24" s="292"/>
      <c r="Q24" s="292"/>
      <c r="R24" s="292"/>
      <c r="S24" s="292"/>
      <c r="T24" s="292"/>
    </row>
    <row r="25" spans="1:20" x14ac:dyDescent="0.25">
      <c r="A25" s="41"/>
      <c r="B25" s="129"/>
      <c r="C25" s="298" t="s">
        <v>29</v>
      </c>
      <c r="D25" s="298"/>
      <c r="E25" s="299"/>
      <c r="F25" s="300"/>
      <c r="G25" s="301"/>
      <c r="H25" s="300">
        <f>SUM(H23:I23)</f>
        <v>0</v>
      </c>
      <c r="I25" s="301"/>
      <c r="J25" s="41"/>
      <c r="K25" s="41"/>
      <c r="M25" s="178" t="s">
        <v>40</v>
      </c>
      <c r="N25" s="292" t="s">
        <v>48</v>
      </c>
      <c r="O25" s="292"/>
      <c r="P25" s="292"/>
      <c r="Q25" s="292"/>
      <c r="R25" s="292"/>
      <c r="S25" s="292"/>
      <c r="T25" s="292"/>
    </row>
    <row r="26" spans="1:20" x14ac:dyDescent="0.25">
      <c r="A26" s="41"/>
      <c r="B26" s="129"/>
      <c r="C26" s="177"/>
      <c r="D26" s="177"/>
      <c r="E26" s="177"/>
      <c r="F26" s="138"/>
      <c r="G26" s="138"/>
      <c r="H26" s="138"/>
      <c r="I26" s="138"/>
      <c r="J26" s="41"/>
      <c r="K26" s="41"/>
    </row>
    <row r="27" spans="1:20" x14ac:dyDescent="0.25">
      <c r="A27" s="41"/>
      <c r="B27" s="129"/>
      <c r="C27" s="177"/>
      <c r="D27" s="177"/>
      <c r="E27" s="177"/>
      <c r="F27" s="138"/>
      <c r="G27" s="138"/>
      <c r="H27" s="138"/>
      <c r="I27" s="138"/>
      <c r="J27" s="41"/>
      <c r="K27" s="41"/>
    </row>
    <row r="28" spans="1:20" x14ac:dyDescent="0.25">
      <c r="A28" s="41"/>
      <c r="B28" s="129"/>
      <c r="C28" s="177"/>
      <c r="D28" s="177"/>
      <c r="E28" s="177"/>
      <c r="F28" s="138"/>
      <c r="G28" s="138"/>
      <c r="H28" s="138"/>
      <c r="I28" s="138"/>
      <c r="J28" s="41"/>
      <c r="K28" s="41"/>
      <c r="N28" s="298" t="s">
        <v>29</v>
      </c>
      <c r="O28" s="298"/>
      <c r="P28" s="299"/>
      <c r="Q28" s="300"/>
      <c r="R28" s="301"/>
      <c r="S28" s="300"/>
      <c r="T28" s="301"/>
    </row>
    <row r="29" spans="1:20" x14ac:dyDescent="0.25">
      <c r="A29" s="41"/>
      <c r="B29" s="129"/>
      <c r="C29" s="177"/>
      <c r="D29" s="177"/>
      <c r="E29" s="177"/>
      <c r="F29" s="138"/>
      <c r="G29" s="138"/>
      <c r="H29" s="138"/>
      <c r="I29" s="138"/>
      <c r="J29" s="41"/>
      <c r="K29" s="41"/>
    </row>
    <row r="30" spans="1:20" x14ac:dyDescent="0.25">
      <c r="A30" s="41"/>
      <c r="B30" s="129"/>
      <c r="C30" s="177"/>
      <c r="D30" s="177"/>
      <c r="E30" s="177"/>
      <c r="F30" s="138"/>
      <c r="G30" s="138"/>
      <c r="H30" s="138"/>
      <c r="I30" s="138"/>
      <c r="J30" s="41"/>
      <c r="K30" s="41"/>
    </row>
    <row r="31" spans="1:20" x14ac:dyDescent="0.25">
      <c r="A31" s="41"/>
      <c r="B31" s="177"/>
      <c r="C31" s="177"/>
      <c r="D31" s="177"/>
      <c r="E31" s="177"/>
      <c r="F31" s="177"/>
      <c r="G31" s="177"/>
      <c r="H31" s="177"/>
      <c r="I31" s="177"/>
      <c r="J31" s="41"/>
      <c r="K31" s="41"/>
    </row>
    <row r="32" spans="1:20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</row>
    <row r="33" spans="1:11" x14ac:dyDescent="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</row>
    <row r="34" spans="1:11" x14ac:dyDescent="0.2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</row>
    <row r="35" spans="1:11" x14ac:dyDescent="0.2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</row>
    <row r="36" spans="1:11" x14ac:dyDescent="0.25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</row>
    <row r="37" spans="1:11" x14ac:dyDescent="0.25">
      <c r="A37" s="41"/>
      <c r="B37" s="288" t="s">
        <v>30</v>
      </c>
      <c r="C37" s="288"/>
      <c r="D37" s="288"/>
      <c r="E37" s="41"/>
      <c r="F37" s="41"/>
      <c r="G37" s="41"/>
      <c r="H37" s="41"/>
      <c r="I37" s="41"/>
      <c r="J37" s="41"/>
      <c r="K37" s="41"/>
    </row>
    <row r="38" spans="1:11" x14ac:dyDescent="0.25">
      <c r="A38" s="41"/>
      <c r="B38" s="175"/>
      <c r="C38" s="175"/>
      <c r="D38" s="175"/>
      <c r="E38" s="41"/>
      <c r="F38" s="41"/>
      <c r="G38" s="41"/>
      <c r="H38" s="41"/>
      <c r="I38" s="41"/>
      <c r="J38" s="41"/>
      <c r="K38" s="41"/>
    </row>
    <row r="39" spans="1:11" x14ac:dyDescent="0.25">
      <c r="A39" s="41"/>
      <c r="B39" s="288"/>
      <c r="C39" s="288"/>
      <c r="D39" s="288"/>
      <c r="E39" s="41"/>
      <c r="F39" s="41"/>
      <c r="G39" s="41"/>
      <c r="H39" s="41"/>
      <c r="I39" s="41"/>
      <c r="J39" s="41"/>
      <c r="K39" s="41"/>
    </row>
    <row r="40" spans="1:11" x14ac:dyDescent="0.25">
      <c r="A40" s="41"/>
      <c r="B40" s="41" t="s">
        <v>31</v>
      </c>
      <c r="C40" s="41"/>
      <c r="D40" s="41"/>
      <c r="E40" s="41"/>
      <c r="F40" s="41"/>
      <c r="G40" s="41"/>
      <c r="H40" s="41"/>
      <c r="I40" s="41"/>
      <c r="J40" s="41"/>
      <c r="K40" s="41"/>
    </row>
  </sheetData>
  <mergeCells count="30">
    <mergeCell ref="B22:I22"/>
    <mergeCell ref="C9:H10"/>
    <mergeCell ref="B14:I16"/>
    <mergeCell ref="C20:E20"/>
    <mergeCell ref="F20:G20"/>
    <mergeCell ref="H20:I20"/>
    <mergeCell ref="B37:D37"/>
    <mergeCell ref="B39:D39"/>
    <mergeCell ref="C23:E23"/>
    <mergeCell ref="F23:G23"/>
    <mergeCell ref="H23:I23"/>
    <mergeCell ref="C25:E25"/>
    <mergeCell ref="F25:G25"/>
    <mergeCell ref="H25:I25"/>
    <mergeCell ref="M14:T16"/>
    <mergeCell ref="N20:P20"/>
    <mergeCell ref="Q20:R20"/>
    <mergeCell ref="S20:T20"/>
    <mergeCell ref="N23:P23"/>
    <mergeCell ref="Q23:R23"/>
    <mergeCell ref="S23:T23"/>
    <mergeCell ref="N28:P28"/>
    <mergeCell ref="Q28:R28"/>
    <mergeCell ref="S28:T28"/>
    <mergeCell ref="N24:P24"/>
    <mergeCell ref="Q24:R24"/>
    <mergeCell ref="S24:T24"/>
    <mergeCell ref="N25:P25"/>
    <mergeCell ref="Q25:R25"/>
    <mergeCell ref="S25:T2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40"/>
  <sheetViews>
    <sheetView zoomScale="90" zoomScaleNormal="90" zoomScaleSheetLayoutView="80" workbookViewId="0">
      <selection activeCell="T24" sqref="T24"/>
    </sheetView>
  </sheetViews>
  <sheetFormatPr defaultColWidth="9.140625" defaultRowHeight="15" x14ac:dyDescent="0.25"/>
  <cols>
    <col min="1" max="16384" width="9.140625" style="41"/>
  </cols>
  <sheetData>
    <row r="1" spans="2:11" x14ac:dyDescent="0.25">
      <c r="K1" s="137"/>
    </row>
    <row r="2" spans="2:11" x14ac:dyDescent="0.25">
      <c r="K2" s="137"/>
    </row>
    <row r="3" spans="2:11" x14ac:dyDescent="0.25">
      <c r="K3" s="137"/>
    </row>
    <row r="9" spans="2:11" x14ac:dyDescent="0.25">
      <c r="C9" s="297" t="s">
        <v>43</v>
      </c>
      <c r="D9" s="297"/>
      <c r="E9" s="297"/>
      <c r="F9" s="297"/>
      <c r="G9" s="297"/>
      <c r="H9" s="297"/>
    </row>
    <row r="10" spans="2:11" x14ac:dyDescent="0.25">
      <c r="C10" s="297"/>
      <c r="D10" s="297"/>
      <c r="E10" s="297"/>
      <c r="F10" s="297"/>
      <c r="G10" s="297"/>
      <c r="H10" s="297"/>
    </row>
    <row r="14" spans="2:11" ht="15" customHeight="1" x14ac:dyDescent="0.25">
      <c r="B14" s="285" t="s">
        <v>63</v>
      </c>
      <c r="C14" s="285"/>
      <c r="D14" s="285"/>
      <c r="E14" s="285"/>
      <c r="F14" s="285"/>
      <c r="G14" s="285"/>
      <c r="H14" s="285"/>
      <c r="I14" s="285"/>
    </row>
    <row r="15" spans="2:11" ht="15" customHeight="1" x14ac:dyDescent="0.25">
      <c r="B15" s="285"/>
      <c r="C15" s="285"/>
      <c r="D15" s="285"/>
      <c r="E15" s="285"/>
      <c r="F15" s="285"/>
      <c r="G15" s="285"/>
      <c r="H15" s="285"/>
      <c r="I15" s="285"/>
    </row>
    <row r="16" spans="2:11" ht="15" customHeight="1" x14ac:dyDescent="0.25">
      <c r="B16" s="285"/>
      <c r="C16" s="285"/>
      <c r="D16" s="285"/>
      <c r="E16" s="285"/>
      <c r="F16" s="285"/>
      <c r="G16" s="285"/>
      <c r="H16" s="285"/>
      <c r="I16" s="285"/>
    </row>
    <row r="20" spans="2:9" x14ac:dyDescent="0.25">
      <c r="B20" s="141"/>
      <c r="C20" s="286" t="s">
        <v>22</v>
      </c>
      <c r="D20" s="286"/>
      <c r="E20" s="286"/>
      <c r="F20" s="286" t="s">
        <v>18</v>
      </c>
      <c r="G20" s="286"/>
      <c r="H20" s="286" t="s">
        <v>23</v>
      </c>
      <c r="I20" s="286"/>
    </row>
    <row r="21" spans="2:9" ht="11.25" customHeight="1" x14ac:dyDescent="0.25">
      <c r="B21" s="141"/>
      <c r="C21" s="141"/>
      <c r="D21" s="141"/>
      <c r="E21" s="141"/>
      <c r="F21" s="141"/>
      <c r="G21" s="141"/>
      <c r="H21" s="141"/>
      <c r="I21" s="141"/>
    </row>
    <row r="22" spans="2:9" x14ac:dyDescent="0.25">
      <c r="B22" s="287"/>
      <c r="C22" s="287"/>
      <c r="D22" s="287"/>
      <c r="E22" s="287"/>
      <c r="F22" s="287"/>
      <c r="G22" s="287"/>
      <c r="H22" s="287"/>
      <c r="I22" s="287"/>
    </row>
    <row r="23" spans="2:9" ht="18" customHeight="1" x14ac:dyDescent="0.25">
      <c r="B23" s="143" t="s">
        <v>25</v>
      </c>
      <c r="C23" s="292" t="s">
        <v>39</v>
      </c>
      <c r="D23" s="292"/>
      <c r="E23" s="292"/>
      <c r="F23" s="292">
        <f>COUNTA('Redovni promet'!AN6:AN36)</f>
        <v>2</v>
      </c>
      <c r="G23" s="292"/>
      <c r="H23" s="292">
        <f>'Redovni promet'!AN37</f>
        <v>269</v>
      </c>
      <c r="I23" s="292"/>
    </row>
    <row r="24" spans="2:9" ht="18" customHeight="1" x14ac:dyDescent="0.25">
      <c r="B24" s="144"/>
      <c r="C24" s="144"/>
      <c r="D24" s="144"/>
      <c r="E24" s="144"/>
      <c r="F24" s="139"/>
      <c r="G24" s="139"/>
      <c r="H24" s="139"/>
      <c r="I24" s="139"/>
    </row>
    <row r="25" spans="2:9" ht="18" customHeight="1" x14ac:dyDescent="0.25">
      <c r="B25" s="129"/>
      <c r="C25" s="298" t="s">
        <v>29</v>
      </c>
      <c r="D25" s="298"/>
      <c r="E25" s="299"/>
      <c r="F25" s="300">
        <f>SUM(F23:G23)</f>
        <v>2</v>
      </c>
      <c r="G25" s="301"/>
      <c r="H25" s="300">
        <f>SUM(H23:I23)</f>
        <v>269</v>
      </c>
      <c r="I25" s="301"/>
    </row>
    <row r="26" spans="2:9" ht="18" customHeight="1" x14ac:dyDescent="0.25">
      <c r="B26" s="129"/>
      <c r="C26" s="144"/>
      <c r="D26" s="144"/>
      <c r="E26" s="144"/>
      <c r="F26" s="138"/>
      <c r="G26" s="138"/>
      <c r="H26" s="138"/>
      <c r="I26" s="138"/>
    </row>
    <row r="27" spans="2:9" ht="18" customHeight="1" x14ac:dyDescent="0.25">
      <c r="B27" s="129"/>
      <c r="C27" s="144"/>
      <c r="D27" s="144"/>
      <c r="E27" s="144"/>
      <c r="F27" s="138"/>
      <c r="G27" s="138"/>
      <c r="H27" s="138"/>
      <c r="I27" s="138"/>
    </row>
    <row r="28" spans="2:9" ht="18" customHeight="1" x14ac:dyDescent="0.25">
      <c r="B28" s="129"/>
      <c r="C28" s="144"/>
      <c r="D28" s="144"/>
      <c r="E28" s="144"/>
      <c r="F28" s="138"/>
      <c r="G28" s="138"/>
      <c r="H28" s="138"/>
      <c r="I28" s="138"/>
    </row>
    <row r="29" spans="2:9" ht="18" customHeight="1" x14ac:dyDescent="0.25">
      <c r="B29" s="129"/>
      <c r="C29" s="144"/>
      <c r="D29" s="144"/>
      <c r="E29" s="144"/>
      <c r="F29" s="138"/>
      <c r="G29" s="138"/>
      <c r="H29" s="138"/>
      <c r="I29" s="138"/>
    </row>
    <row r="30" spans="2:9" ht="18" customHeight="1" x14ac:dyDescent="0.25">
      <c r="B30" s="129"/>
      <c r="C30" s="144"/>
      <c r="D30" s="144"/>
      <c r="E30" s="144"/>
      <c r="F30" s="138"/>
      <c r="G30" s="138"/>
      <c r="H30" s="138"/>
      <c r="I30" s="138"/>
    </row>
    <row r="31" spans="2:9" ht="18.75" customHeight="1" x14ac:dyDescent="0.25">
      <c r="B31" s="144"/>
      <c r="C31" s="144"/>
      <c r="D31" s="144"/>
      <c r="E31" s="144"/>
      <c r="F31" s="144"/>
      <c r="G31" s="144"/>
      <c r="H31" s="144"/>
      <c r="I31" s="144"/>
    </row>
    <row r="37" spans="2:4" x14ac:dyDescent="0.25">
      <c r="B37" s="288" t="s">
        <v>30</v>
      </c>
      <c r="C37" s="288"/>
      <c r="D37" s="288"/>
    </row>
    <row r="38" spans="2:4" x14ac:dyDescent="0.25">
      <c r="B38" s="142"/>
      <c r="C38" s="142"/>
      <c r="D38" s="142"/>
    </row>
    <row r="39" spans="2:4" x14ac:dyDescent="0.25">
      <c r="B39" s="288"/>
      <c r="C39" s="288"/>
      <c r="D39" s="288"/>
    </row>
    <row r="40" spans="2:4" x14ac:dyDescent="0.25">
      <c r="B40" s="41" t="s">
        <v>31</v>
      </c>
    </row>
  </sheetData>
  <mergeCells count="14">
    <mergeCell ref="B22:I22"/>
    <mergeCell ref="C9:H10"/>
    <mergeCell ref="B14:I16"/>
    <mergeCell ref="C20:E20"/>
    <mergeCell ref="F20:G20"/>
    <mergeCell ref="H20:I20"/>
    <mergeCell ref="B37:D37"/>
    <mergeCell ref="B39:D39"/>
    <mergeCell ref="C23:E23"/>
    <mergeCell ref="F23:G23"/>
    <mergeCell ref="H23:I23"/>
    <mergeCell ref="C25:E25"/>
    <mergeCell ref="F25:G25"/>
    <mergeCell ref="H25:I25"/>
  </mergeCells>
  <pageMargins left="0.7" right="0.35416666666666669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4:S14"/>
  <sheetViews>
    <sheetView zoomScaleNormal="100" workbookViewId="0">
      <selection activeCell="W31" sqref="W31"/>
    </sheetView>
  </sheetViews>
  <sheetFormatPr defaultRowHeight="15" x14ac:dyDescent="0.25"/>
  <sheetData>
    <row r="4" spans="3:19" x14ac:dyDescent="0.25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3:19" x14ac:dyDescent="0.2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3:19" x14ac:dyDescent="0.25">
      <c r="C6" s="1"/>
      <c r="D6" s="1"/>
      <c r="E6" s="1"/>
      <c r="F6" s="1"/>
      <c r="G6" s="308" t="s">
        <v>4</v>
      </c>
      <c r="H6" s="309"/>
      <c r="I6" s="309"/>
      <c r="J6" s="309"/>
      <c r="K6" s="309"/>
      <c r="L6" s="310"/>
      <c r="M6" s="35"/>
      <c r="N6" s="308" t="s">
        <v>20</v>
      </c>
      <c r="O6" s="309"/>
      <c r="P6" s="309"/>
      <c r="Q6" s="309"/>
      <c r="R6" s="309"/>
      <c r="S6" s="310"/>
    </row>
    <row r="7" spans="3:19" x14ac:dyDescent="0.25">
      <c r="C7" s="1"/>
      <c r="D7" s="1"/>
      <c r="E7" s="302" t="s">
        <v>18</v>
      </c>
      <c r="F7" s="303"/>
      <c r="G7" s="302" t="s">
        <v>2</v>
      </c>
      <c r="H7" s="303"/>
      <c r="I7" s="302" t="s">
        <v>3</v>
      </c>
      <c r="J7" s="303"/>
      <c r="K7" s="302" t="s">
        <v>19</v>
      </c>
      <c r="L7" s="303"/>
      <c r="M7" s="3"/>
      <c r="N7" s="302" t="s">
        <v>6</v>
      </c>
      <c r="O7" s="303"/>
      <c r="P7" s="302" t="s">
        <v>5</v>
      </c>
      <c r="Q7" s="303"/>
      <c r="R7" s="302" t="s">
        <v>19</v>
      </c>
      <c r="S7" s="303"/>
    </row>
    <row r="8" spans="3:19" x14ac:dyDescent="0.25">
      <c r="C8" s="302" t="s">
        <v>15</v>
      </c>
      <c r="D8" s="303"/>
      <c r="E8" s="304">
        <f>'Redovni promet'!AX12</f>
        <v>41</v>
      </c>
      <c r="F8" s="305"/>
      <c r="G8" s="304">
        <f>'Redovni promet'!AY12</f>
        <v>7524</v>
      </c>
      <c r="H8" s="305"/>
      <c r="I8" s="304">
        <f>'Redovni promet'!AZ12</f>
        <v>7875</v>
      </c>
      <c r="J8" s="305"/>
      <c r="K8" s="304">
        <f>SUM(G8:J8)</f>
        <v>15399</v>
      </c>
      <c r="L8" s="305"/>
      <c r="M8" s="3"/>
      <c r="N8" s="302">
        <v>0</v>
      </c>
      <c r="O8" s="303"/>
      <c r="P8" s="302">
        <v>0</v>
      </c>
      <c r="Q8" s="303"/>
      <c r="R8" s="302">
        <v>0</v>
      </c>
      <c r="S8" s="303"/>
    </row>
    <row r="9" spans="3:19" x14ac:dyDescent="0.25">
      <c r="C9" s="302" t="s">
        <v>16</v>
      </c>
      <c r="D9" s="303"/>
      <c r="E9" s="304">
        <f>COUNTA('Vanredni promet'!D6:D39)</f>
        <v>2</v>
      </c>
      <c r="F9" s="305"/>
      <c r="G9" s="304">
        <f>SUM('Vanredni promet'!E6:F39)</f>
        <v>4</v>
      </c>
      <c r="H9" s="305"/>
      <c r="I9" s="304">
        <f>SUM('Vanredni promet'!G6:H39)</f>
        <v>0</v>
      </c>
      <c r="J9" s="305"/>
      <c r="K9" s="304">
        <f>SUM(G9:J9)</f>
        <v>4</v>
      </c>
      <c r="L9" s="305"/>
      <c r="M9" s="3"/>
      <c r="N9" s="304">
        <v>0</v>
      </c>
      <c r="O9" s="305"/>
      <c r="P9" s="304">
        <v>0</v>
      </c>
      <c r="Q9" s="305"/>
      <c r="R9" s="304">
        <f>SUM(N9:Q9)</f>
        <v>0</v>
      </c>
      <c r="S9" s="305"/>
    </row>
    <row r="10" spans="3:19" x14ac:dyDescent="0.25">
      <c r="C10" s="302" t="s">
        <v>17</v>
      </c>
      <c r="D10" s="303"/>
      <c r="E10" s="304">
        <f>'Ostala slijetanja'!D38/2</f>
        <v>0</v>
      </c>
      <c r="F10" s="305"/>
      <c r="G10" s="304">
        <f>'Ostala slijetanja'!E38</f>
        <v>0</v>
      </c>
      <c r="H10" s="305"/>
      <c r="I10" s="304">
        <f>'Ostala slijetanja'!F38</f>
        <v>0</v>
      </c>
      <c r="J10" s="305"/>
      <c r="K10" s="304">
        <f>SUM(G10:J10)</f>
        <v>0</v>
      </c>
      <c r="L10" s="305"/>
      <c r="M10" s="3"/>
      <c r="N10" s="304">
        <v>0</v>
      </c>
      <c r="O10" s="305"/>
      <c r="P10" s="304">
        <v>0</v>
      </c>
      <c r="Q10" s="305"/>
      <c r="R10" s="304">
        <f>SUM(N10:Q10)</f>
        <v>0</v>
      </c>
      <c r="S10" s="305"/>
    </row>
    <row r="11" spans="3:19" x14ac:dyDescent="0.25">
      <c r="C11" s="1"/>
      <c r="D11" s="1"/>
      <c r="E11" s="1"/>
      <c r="F11" s="1"/>
      <c r="G11" s="1"/>
      <c r="H11" s="1"/>
      <c r="I11" s="1"/>
      <c r="J11" s="1"/>
      <c r="K11" s="1"/>
      <c r="L11" s="1"/>
      <c r="M11" s="8"/>
      <c r="N11" s="1"/>
      <c r="O11" s="1"/>
      <c r="P11" s="1"/>
      <c r="Q11" s="1"/>
      <c r="R11" s="1"/>
      <c r="S11" s="1"/>
    </row>
    <row r="12" spans="3:19" x14ac:dyDescent="0.25">
      <c r="C12" s="302" t="s">
        <v>13</v>
      </c>
      <c r="D12" s="303"/>
      <c r="E12" s="306">
        <f>SUM(E8:F10)</f>
        <v>43</v>
      </c>
      <c r="F12" s="307"/>
      <c r="G12" s="306">
        <f>SUM(G8:H10)</f>
        <v>7528</v>
      </c>
      <c r="H12" s="307"/>
      <c r="I12" s="306">
        <f>SUM(I8:J10)</f>
        <v>7875</v>
      </c>
      <c r="J12" s="307"/>
      <c r="K12" s="306">
        <f>SUM(K8:L10)</f>
        <v>15403</v>
      </c>
      <c r="L12" s="307"/>
      <c r="M12" s="9"/>
      <c r="N12" s="304">
        <f>SUM(N8:O10)</f>
        <v>0</v>
      </c>
      <c r="O12" s="305"/>
      <c r="P12" s="304">
        <f>SUM(P8:Q10)</f>
        <v>0</v>
      </c>
      <c r="Q12" s="305"/>
      <c r="R12" s="304">
        <f>SUM(R8:S10)</f>
        <v>0</v>
      </c>
      <c r="S12" s="305"/>
    </row>
    <row r="13" spans="3:19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3:19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</sheetData>
  <mergeCells count="41">
    <mergeCell ref="N10:O10"/>
    <mergeCell ref="P10:Q10"/>
    <mergeCell ref="R10:S10"/>
    <mergeCell ref="N12:O12"/>
    <mergeCell ref="P12:Q12"/>
    <mergeCell ref="R12:S12"/>
    <mergeCell ref="K9:L9"/>
    <mergeCell ref="G6:L6"/>
    <mergeCell ref="N6:S6"/>
    <mergeCell ref="N7:O7"/>
    <mergeCell ref="P7:Q7"/>
    <mergeCell ref="R7:S7"/>
    <mergeCell ref="I7:J7"/>
    <mergeCell ref="K7:L7"/>
    <mergeCell ref="N8:O8"/>
    <mergeCell ref="P8:Q8"/>
    <mergeCell ref="R8:S8"/>
    <mergeCell ref="N9:O9"/>
    <mergeCell ref="P9:Q9"/>
    <mergeCell ref="R9:S9"/>
    <mergeCell ref="C12:D12"/>
    <mergeCell ref="E12:F12"/>
    <mergeCell ref="G12:H12"/>
    <mergeCell ref="I12:J12"/>
    <mergeCell ref="K12:L12"/>
    <mergeCell ref="C8:D8"/>
    <mergeCell ref="C9:D9"/>
    <mergeCell ref="C10:D10"/>
    <mergeCell ref="K10:L10"/>
    <mergeCell ref="E7:F7"/>
    <mergeCell ref="E8:F8"/>
    <mergeCell ref="E9:F9"/>
    <mergeCell ref="E10:F10"/>
    <mergeCell ref="G7:H7"/>
    <mergeCell ref="G8:H8"/>
    <mergeCell ref="G9:H9"/>
    <mergeCell ref="G10:H10"/>
    <mergeCell ref="I8:J8"/>
    <mergeCell ref="I9:J9"/>
    <mergeCell ref="I10:J10"/>
    <mergeCell ref="K8:L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Redovni promet</vt:lpstr>
      <vt:lpstr>Vanredni promet</vt:lpstr>
      <vt:lpstr>DOMESTIC FLIGHT</vt:lpstr>
      <vt:lpstr>Ostala slijetanja</vt:lpstr>
      <vt:lpstr>Izvještaj za fakturisanje WZZ</vt:lpstr>
      <vt:lpstr>Izvještaj za fakturisanje PGT</vt:lpstr>
      <vt:lpstr>Izvještaj za fakturisanje Ryana</vt:lpstr>
      <vt:lpstr>Izvještaj za fakturisanje TKJ</vt:lpstr>
      <vt:lpstr>UKUPNO</vt:lpstr>
    </vt:vector>
  </TitlesOfParts>
  <Company>Bajric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Semir</dc:creator>
  <cp:lastModifiedBy>OPC-TZL</cp:lastModifiedBy>
  <cp:lastPrinted>2024-10-09T11:59:32Z</cp:lastPrinted>
  <dcterms:created xsi:type="dcterms:W3CDTF">2017-01-18T09:15:02Z</dcterms:created>
  <dcterms:modified xsi:type="dcterms:W3CDTF">2025-10-14T08:14:53Z</dcterms:modified>
</cp:coreProperties>
</file>