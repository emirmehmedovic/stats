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891" firstSheet="0" activeTab="0" autoFilterDateGrouping="1"/>
  </bookViews>
  <sheets>
    <sheet name="Redovni promet" sheetId="1" state="visible" r:id="rId1"/>
    <sheet name="Vanredni promet" sheetId="2" state="visible" r:id="rId2"/>
    <sheet name="DOMESTIC FLIGHT" sheetId="3" state="visible" r:id="rId3"/>
    <sheet name="Ostala slijetanja" sheetId="4" state="visible" r:id="rId4"/>
    <sheet name="Izvještaj za fakturisanje WZZ" sheetId="5" state="visible" r:id="rId5"/>
    <sheet name="Izvještaj za fakturisanje PGT" sheetId="6" state="visible" r:id="rId6"/>
    <sheet name="Izvještaj za fakturisanje Ryana" sheetId="7" state="visible" r:id="rId7"/>
    <sheet name="Izvještaj za fakturisanje TKJ" sheetId="8" state="visible" r:id="rId8"/>
    <sheet name="UKUPNO" sheetId="9" state="visible" r:id="rId9"/>
  </sheets>
  <definedNames/>
  <calcPr calcId="179021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4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2"/>
      <scheme val="minor"/>
    </font>
    <font>
      <name val="Calibri"/>
      <charset val="238"/>
      <family val="2"/>
      <b val="1"/>
      <color theme="1"/>
      <sz val="11"/>
      <scheme val="minor"/>
    </font>
    <font>
      <name val="Calibri"/>
      <charset val="238"/>
      <family val="2"/>
      <b val="1"/>
      <color theme="1"/>
      <sz val="12"/>
      <scheme val="minor"/>
    </font>
    <font>
      <name val="Calibri"/>
      <charset val="238"/>
      <family val="2"/>
      <sz val="11"/>
      <scheme val="minor"/>
    </font>
    <font>
      <name val="Calibri"/>
      <charset val="238"/>
      <family val="2"/>
      <color rgb="FFC00000"/>
      <sz val="11"/>
      <scheme val="minor"/>
    </font>
    <font>
      <name val="times new roman"/>
      <family val="2"/>
      <color theme="1"/>
      <sz val="11"/>
    </font>
    <font>
      <name val="Arial"/>
      <family val="2"/>
      <color indexed="12"/>
      <sz val="10"/>
      <u val="single"/>
    </font>
    <font>
      <name val="Arial"/>
      <family val="2"/>
      <sz val="10"/>
    </font>
    <font>
      <name val="Arial CE"/>
      <charset val="238"/>
      <family val="2"/>
      <sz val="9"/>
    </font>
    <font>
      <name val="Calibri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mbria"/>
      <charset val="238"/>
      <family val="1"/>
      <b val="1"/>
      <color theme="1"/>
      <sz val="11"/>
      <scheme val="major"/>
    </font>
    <font>
      <name val="Times New Roman"/>
      <charset val="238"/>
      <family val="1"/>
      <b val="1"/>
      <color theme="1"/>
      <sz val="16"/>
    </font>
    <font>
      <name val="Times New Roman"/>
      <charset val="238"/>
      <family val="1"/>
      <color theme="1"/>
      <sz val="11"/>
    </font>
    <font>
      <name val="Times New Roman"/>
      <charset val="238"/>
      <family val="1"/>
      <b val="1"/>
      <color theme="1"/>
      <sz val="11"/>
    </font>
    <font>
      <name val="Times New Roman"/>
      <family val="1"/>
      <b val="1"/>
      <color theme="1"/>
      <sz val="11"/>
    </font>
    <font>
      <name val="Garamond"/>
      <charset val="238"/>
      <family val="1"/>
      <color theme="1"/>
      <sz val="10"/>
    </font>
    <font>
      <name val="Garamond"/>
      <family val="1"/>
      <color theme="1"/>
      <sz val="10"/>
    </font>
    <font>
      <name val="Garamond"/>
      <charset val="238"/>
      <family val="1"/>
      <sz val="10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6"/>
    </font>
    <font>
      <name val="Garamond"/>
      <charset val="238"/>
      <family val="1"/>
      <color theme="1"/>
      <sz val="11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11" fillId="0" borderId="0"/>
    <xf numFmtId="0" fontId="6" fillId="0" borderId="0"/>
    <xf numFmtId="0" fontId="7" fillId="0" borderId="0" applyAlignment="1" applyProtection="1">
      <alignment vertical="top"/>
      <protection locked="0" hidden="0"/>
    </xf>
    <xf numFmtId="0" fontId="8" fillId="0" borderId="0"/>
    <xf numFmtId="164" fontId="8" fillId="0" borderId="0"/>
    <xf numFmtId="0" fontId="9" fillId="0" borderId="0"/>
    <xf numFmtId="0" fontId="10" fillId="0" borderId="0"/>
    <xf numFmtId="0" fontId="11" fillId="0" borderId="0"/>
  </cellStyleXfs>
  <cellXfs count="347">
    <xf numFmtId="0" fontId="0" fillId="0" borderId="0" pivotButton="0" quotePrefix="0" xfId="0"/>
    <xf numFmtId="0" fontId="0" fillId="3" borderId="0" applyProtection="1" pivotButton="0" quotePrefix="0" xfId="0">
      <protection locked="0" hidden="0"/>
    </xf>
    <xf numFmtId="0" fontId="2" fillId="3" borderId="0" applyProtection="1" pivotButton="0" quotePrefix="0" xfId="0">
      <protection locked="0" hidden="0"/>
    </xf>
    <xf numFmtId="0" fontId="0" fillId="3" borderId="0" applyAlignment="1" applyProtection="1" pivotButton="0" quotePrefix="0" xfId="0">
      <alignment horizontal="center"/>
      <protection locked="0" hidden="0"/>
    </xf>
    <xf numFmtId="0" fontId="0" fillId="3" borderId="0" applyAlignment="1" applyProtection="1" pivotButton="0" quotePrefix="0" xfId="0">
      <alignment horizontal="center"/>
      <protection locked="0" hidden="0"/>
    </xf>
    <xf numFmtId="0" fontId="0" fillId="3" borderId="0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3" borderId="0" applyProtection="1" pivotButton="0" quotePrefix="0" xfId="0">
      <protection locked="0" hidden="0"/>
    </xf>
    <xf numFmtId="0" fontId="0" fillId="3" borderId="0" applyAlignment="1" pivotButton="0" quotePrefix="0" xfId="0">
      <alignment horizontal="center"/>
    </xf>
    <xf numFmtId="0" fontId="0" fillId="0" borderId="15" applyAlignment="1" applyProtection="1" pivotButton="0" quotePrefix="0" xfId="0">
      <alignment horizontal="center"/>
      <protection locked="0" hidden="0"/>
    </xf>
    <xf numFmtId="0" fontId="0" fillId="0" borderId="16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0" fillId="0" borderId="15" applyAlignment="1" applyProtection="1" pivotButton="0" quotePrefix="0" xfId="0">
      <alignment horizontal="center"/>
      <protection locked="0" hidden="0"/>
    </xf>
    <xf numFmtId="0" fontId="0" fillId="0" borderId="16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applyAlignment="1" pivotButton="0" quotePrefix="0" xfId="0">
      <alignment horizontal="center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 vertic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2" applyAlignment="1" applyProtection="1" pivotButton="0" quotePrefix="0" xfId="0">
      <alignment horizontal="center"/>
      <protection locked="0" hidden="0"/>
    </xf>
    <xf numFmtId="0" fontId="0" fillId="0" borderId="2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3" fontId="0" fillId="0" borderId="3" applyAlignment="1" applyProtection="1" pivotButton="0" quotePrefix="0" xfId="0">
      <alignment horizontal="center" vertical="center"/>
      <protection locked="0" hidden="0"/>
    </xf>
    <xf numFmtId="0" fontId="0" fillId="0" borderId="3" applyAlignment="1" pivotButton="0" quotePrefix="0" xfId="0">
      <alignment horizont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2" fillId="0" borderId="0" applyProtection="1" pivotButton="0" quotePrefix="0" xfId="0">
      <protection locked="0" hidden="0"/>
    </xf>
    <xf numFmtId="0" fontId="4" fillId="0" borderId="15" applyAlignment="1" applyProtection="1" pivotButton="0" quotePrefix="0" xfId="0">
      <alignment horizontal="center"/>
      <protection locked="0" hidden="0"/>
    </xf>
    <xf numFmtId="0" fontId="4" fillId="0" borderId="16" applyAlignment="1" applyProtection="1" pivotButton="0" quotePrefix="0" xfId="0">
      <alignment horizontal="center"/>
      <protection locked="0" hidden="0"/>
    </xf>
    <xf numFmtId="0" fontId="0" fillId="0" borderId="19" applyAlignment="1" applyProtection="1" pivotButton="0" quotePrefix="0" xfId="0">
      <alignment horizontal="center"/>
      <protection locked="0" hidden="0"/>
    </xf>
    <xf numFmtId="0" fontId="0" fillId="0" borderId="18" applyAlignment="1" applyProtection="1" pivotButton="0" quotePrefix="0" xfId="0">
      <alignment horizontal="center"/>
      <protection locked="0" hidden="0"/>
    </xf>
    <xf numFmtId="0" fontId="0" fillId="3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0" fontId="0" fillId="0" borderId="9" applyAlignment="1" applyProtection="1" pivotButton="0" quotePrefix="0" xfId="0">
      <alignment horizontal="center"/>
      <protection locked="0" hidden="0"/>
    </xf>
    <xf numFmtId="0" fontId="0" fillId="0" borderId="13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/>
      <protection locked="0" hidden="0"/>
    </xf>
    <xf numFmtId="0" fontId="0" fillId="0" borderId="4" applyAlignment="1" applyProtection="1" pivotButton="0" quotePrefix="0" xfId="0">
      <alignment horizontal="center" vertical="center"/>
      <protection locked="0" hidden="0"/>
    </xf>
    <xf numFmtId="0" fontId="14" fillId="0" borderId="0" pivotButton="0" quotePrefix="0" xfId="6"/>
    <xf numFmtId="0" fontId="15" fillId="0" borderId="0" applyAlignment="1" pivotButton="0" quotePrefix="0" xfId="6">
      <alignment horizontal="center" vertical="center"/>
    </xf>
    <xf numFmtId="0" fontId="14" fillId="0" borderId="17" applyAlignment="1" pivotButton="0" quotePrefix="0" xfId="6">
      <alignment horizontal="center" vertical="center"/>
    </xf>
    <xf numFmtId="0" fontId="14" fillId="0" borderId="0" applyAlignment="1" pivotButton="0" quotePrefix="0" xfId="6">
      <alignment horizontal="center" vertical="center"/>
    </xf>
    <xf numFmtId="0" fontId="14" fillId="0" borderId="0" applyAlignment="1" pivotButton="0" quotePrefix="0" xfId="6">
      <alignment horizontal="center" vertical="center"/>
    </xf>
    <xf numFmtId="0" fontId="0" fillId="0" borderId="2" applyAlignment="1" applyProtection="1" pivotButton="0" quotePrefix="0" xfId="0">
      <alignment horizontal="center" vertical="center"/>
      <protection locked="0" hidden="0"/>
    </xf>
    <xf numFmtId="0" fontId="0" fillId="3" borderId="0" applyProtection="1" pivotButton="0" quotePrefix="0" xfId="0">
      <protection locked="0" hidden="0"/>
    </xf>
    <xf numFmtId="0" fontId="0" fillId="0" borderId="13" applyAlignment="1" applyProtection="1" pivotButton="0" quotePrefix="0" xfId="0">
      <alignment horizontal="center"/>
      <protection locked="0" hidden="0"/>
    </xf>
    <xf numFmtId="0" fontId="0" fillId="0" borderId="23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17" fillId="0" borderId="17" applyAlignment="1" pivotButton="0" quotePrefix="0" xfId="0">
      <alignment horizontal="center" vertical="center"/>
    </xf>
    <xf numFmtId="3" fontId="0" fillId="0" borderId="17" applyAlignment="1" applyProtection="1" pivotButton="0" quotePrefix="0" xfId="0">
      <alignment horizontal="center"/>
      <protection locked="0" hidden="0"/>
    </xf>
    <xf numFmtId="0" fontId="0" fillId="0" borderId="16" applyAlignment="1" applyProtection="1" pivotButton="0" quotePrefix="0" xfId="0">
      <alignment horizontal="center"/>
      <protection locked="0" hidden="0"/>
    </xf>
    <xf numFmtId="0" fontId="0" fillId="0" borderId="15" applyAlignment="1" applyProtection="1" pivotButton="0" quotePrefix="0" xfId="0">
      <alignment horizontal="center" vertical="center"/>
      <protection locked="0" hidden="0"/>
    </xf>
    <xf numFmtId="0" fontId="0" fillId="0" borderId="17" applyAlignment="1" applyProtection="1" pivotButton="0" quotePrefix="0" xfId="0">
      <alignment horizontal="center" vertical="center"/>
      <protection locked="0" hidden="0"/>
    </xf>
    <xf numFmtId="0" fontId="0" fillId="3" borderId="16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 vertical="center"/>
      <protection locked="0" hidden="0"/>
    </xf>
    <xf numFmtId="3" fontId="0" fillId="0" borderId="17" applyAlignment="1" applyProtection="1" pivotButton="0" quotePrefix="0" xfId="0">
      <alignment horizontal="center" vertical="center"/>
      <protection locked="0" hidden="0"/>
    </xf>
    <xf numFmtId="0" fontId="0" fillId="0" borderId="16" applyAlignment="1" applyProtection="1" pivotButton="0" quotePrefix="0" xfId="0">
      <alignment horizontal="center" vertical="center" wrapText="1"/>
      <protection locked="0" hidden="0"/>
    </xf>
    <xf numFmtId="0" fontId="0" fillId="3" borderId="15" applyAlignment="1" applyProtection="1" pivotButton="0" quotePrefix="0" xfId="0">
      <alignment horizontal="center"/>
      <protection locked="0" hidden="0"/>
    </xf>
    <xf numFmtId="3" fontId="0" fillId="3" borderId="17" applyAlignment="1" applyProtection="1" pivotButton="0" quotePrefix="0" xfId="0">
      <alignment horizontal="center"/>
      <protection locked="0" hidden="0"/>
    </xf>
    <xf numFmtId="0" fontId="0" fillId="0" borderId="17" applyAlignment="1" pivotButton="0" quotePrefix="0" xfId="0">
      <alignment horizontal="center"/>
    </xf>
    <xf numFmtId="0" fontId="0" fillId="3" borderId="17" applyAlignment="1" applyProtection="1" pivotButton="0" quotePrefix="0" xfId="0">
      <alignment horizontal="center"/>
      <protection locked="0" hidden="0"/>
    </xf>
    <xf numFmtId="0" fontId="3" fillId="3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2" fillId="3" borderId="0" applyAlignment="1" applyProtection="1" pivotButton="0" quotePrefix="0" xfId="0">
      <alignment horizontal="center"/>
      <protection locked="0" hidden="0"/>
    </xf>
    <xf numFmtId="0" fontId="2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3" borderId="0" applyAlignment="1" applyProtection="1" pivotButton="0" quotePrefix="0" xfId="0">
      <alignment vertical="center"/>
      <protection locked="0" hidden="0"/>
    </xf>
    <xf numFmtId="0" fontId="0" fillId="0" borderId="13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3" applyAlignment="1" pivotButton="0" quotePrefix="0" xfId="0">
      <alignment horizontal="center" vertical="center"/>
    </xf>
    <xf numFmtId="0" fontId="0" fillId="0" borderId="3" applyAlignment="1" applyProtection="1" pivotButton="0" quotePrefix="0" xfId="0">
      <alignment horizontal="center" vertical="center"/>
      <protection locked="0" hidden="0"/>
    </xf>
    <xf numFmtId="0" fontId="0" fillId="0" borderId="4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" fillId="0" borderId="12" applyAlignment="1" applyProtection="1" pivotButton="0" quotePrefix="0" xfId="0">
      <alignment horizontal="center"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3" fontId="0" fillId="0" borderId="3" applyAlignment="1" applyProtection="1" pivotButton="0" quotePrefix="0" xfId="0">
      <alignment horizontal="center" vertical="center"/>
      <protection locked="0" hidden="0"/>
    </xf>
    <xf numFmtId="0" fontId="0" fillId="0" borderId="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4" applyAlignment="1" applyProtection="1" pivotButton="0" quotePrefix="0" xfId="0">
      <alignment horizontal="center"/>
      <protection locked="0" hidden="0"/>
    </xf>
    <xf numFmtId="0" fontId="0" fillId="0" borderId="22" applyAlignment="1" applyProtection="1" pivotButton="0" quotePrefix="0" xfId="0">
      <alignment horizontal="center"/>
      <protection locked="0" hidden="0"/>
    </xf>
    <xf numFmtId="0" fontId="0" fillId="0" borderId="25" applyAlignment="1" applyProtection="1" pivotButton="0" quotePrefix="0" xfId="0">
      <alignment horizontal="center"/>
      <protection locked="0" hidden="0"/>
    </xf>
    <xf numFmtId="0" fontId="0" fillId="0" borderId="26" applyAlignment="1" applyProtection="1" pivotButton="0" quotePrefix="0" xfId="0">
      <alignment horizontal="center"/>
      <protection locked="0" hidden="0"/>
    </xf>
    <xf numFmtId="49" fontId="14" fillId="0" borderId="17" applyAlignment="1" pivotButton="0" quotePrefix="0" xfId="6">
      <alignment horizontal="center" vertical="center"/>
    </xf>
    <xf numFmtId="0" fontId="0" fillId="0" borderId="13" applyAlignment="1" applyProtection="1" pivotButton="0" quotePrefix="0" xfId="0">
      <alignment horizontal="center"/>
      <protection locked="0" hidden="0"/>
    </xf>
    <xf numFmtId="0" fontId="18" fillId="0" borderId="0" applyAlignment="1" pivotButton="0" quotePrefix="0" xfId="0">
      <alignment horizontal="center"/>
    </xf>
    <xf numFmtId="0" fontId="19" fillId="4" borderId="0" applyAlignment="1" pivotButton="0" quotePrefix="0" xfId="0">
      <alignment horizontal="center" vertical="center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4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16" fontId="0" fillId="2" borderId="14" applyAlignment="1" applyProtection="1" pivotButton="0" quotePrefix="0" xfId="0">
      <alignment horizontal="center"/>
      <protection locked="0" hidden="0"/>
    </xf>
    <xf numFmtId="0" fontId="0" fillId="0" borderId="24" applyAlignment="1" applyProtection="1" pivotButton="0" quotePrefix="0" xfId="0">
      <alignment horizontal="center"/>
      <protection locked="0" hidden="0"/>
    </xf>
    <xf numFmtId="0" fontId="0" fillId="0" borderId="30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1" fillId="0" borderId="8" applyAlignment="1" applyProtection="1" pivotButton="0" quotePrefix="0" xfId="0">
      <alignment horizontal="center"/>
      <protection locked="0" hidden="0"/>
    </xf>
    <xf numFmtId="0" fontId="0" fillId="0" borderId="31" applyAlignment="1" applyProtection="1" pivotButton="0" quotePrefix="0" xfId="0">
      <alignment horizontal="center"/>
      <protection locked="0" hidden="0"/>
    </xf>
    <xf numFmtId="0" fontId="1" fillId="0" borderId="17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3" borderId="17" applyAlignment="1" applyProtection="1" pivotButton="0" quotePrefix="0" xfId="0">
      <alignment horizontal="center"/>
      <protection locked="0" hidden="0"/>
    </xf>
    <xf numFmtId="0" fontId="0" fillId="0" borderId="14" applyAlignment="1" applyProtection="1" pivotButton="0" quotePrefix="0" xfId="0">
      <alignment horizontal="center" vertical="center"/>
      <protection locked="0" hidden="0"/>
    </xf>
    <xf numFmtId="0" fontId="0" fillId="3" borderId="27" applyAlignment="1" applyProtection="1" pivotButton="0" quotePrefix="0" xfId="0">
      <alignment horizontal="center"/>
      <protection locked="0" hidden="0"/>
    </xf>
    <xf numFmtId="0" fontId="18" fillId="0" borderId="0" applyAlignment="1" pivotButton="0" quotePrefix="0" xfId="0">
      <alignment horizontal="center" vertical="center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4" applyAlignment="1" pivotButton="0" quotePrefix="0" xfId="0">
      <alignment horizontal="center"/>
    </xf>
    <xf numFmtId="0" fontId="0" fillId="0" borderId="13" applyAlignment="1" applyProtection="1" pivotButton="0" quotePrefix="0" xfId="0">
      <alignment horizontal="center"/>
      <protection locked="0" hidden="0"/>
    </xf>
    <xf numFmtId="0" fontId="0" fillId="0" borderId="17" applyAlignment="1" pivotButton="0" quotePrefix="0" xfId="0">
      <alignment horizontal="center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3" applyAlignment="1" applyProtection="1" pivotButton="0" quotePrefix="0" xfId="0">
      <alignment horizontal="center"/>
      <protection locked="0" hidden="0"/>
    </xf>
    <xf numFmtId="0" fontId="0" fillId="0" borderId="10" applyAlignment="1" pivotButton="0" quotePrefix="0" xfId="0">
      <alignment horizontal="center"/>
    </xf>
    <xf numFmtId="0" fontId="0" fillId="0" borderId="17" applyProtection="1" pivotButton="0" quotePrefix="0" xfId="0"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31" applyProtection="1" pivotButton="0" quotePrefix="0" xfId="0">
      <protection locked="0" hidden="0"/>
    </xf>
    <xf numFmtId="16" fontId="0" fillId="2" borderId="32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4" applyAlignment="1" applyProtection="1" pivotButton="0" quotePrefix="0" xfId="0">
      <alignment horizontal="center"/>
      <protection locked="0" hidden="0"/>
    </xf>
    <xf numFmtId="0" fontId="0" fillId="0" borderId="34" applyAlignment="1" applyProtection="1" pivotButton="0" quotePrefix="0" xfId="0">
      <alignment horizontal="center"/>
      <protection locked="0" hidden="0"/>
    </xf>
    <xf numFmtId="0" fontId="0" fillId="3" borderId="35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 vertical="center" wrapText="1"/>
      <protection locked="0" hidden="0"/>
    </xf>
    <xf numFmtId="49" fontId="14" fillId="0" borderId="0" applyAlignment="1" pivotButton="0" quotePrefix="0" xfId="6">
      <alignment horizontal="center" vertical="center"/>
    </xf>
    <xf numFmtId="0" fontId="0" fillId="0" borderId="13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15" fillId="0" borderId="0" applyAlignment="1" pivotButton="0" quotePrefix="0" xfId="6">
      <alignment horizontal="center" vertical="center"/>
    </xf>
    <xf numFmtId="0" fontId="14" fillId="0" borderId="0" applyAlignment="1" pivotButton="0" quotePrefix="0" xfId="6">
      <alignment horizontal="center" vertical="center"/>
    </xf>
    <xf numFmtId="0" fontId="14" fillId="0" borderId="17" applyAlignment="1" pivotButton="0" quotePrefix="0" xfId="6">
      <alignment horizontal="center" vertical="center"/>
    </xf>
    <xf numFmtId="0" fontId="14" fillId="0" borderId="0" pivotButton="0" quotePrefix="0" xfId="6"/>
    <xf numFmtId="0" fontId="16" fillId="0" borderId="0" applyAlignment="1" pivotButton="0" quotePrefix="0" xfId="6">
      <alignment horizontal="center" vertical="center"/>
    </xf>
    <xf numFmtId="0" fontId="14" fillId="0" borderId="21" applyAlignment="1" pivotButton="0" quotePrefix="0" xfId="6">
      <alignment horizontal="center" vertical="center"/>
    </xf>
    <xf numFmtId="0" fontId="3" fillId="3" borderId="0" applyAlignment="1" applyProtection="1" pivotButton="0" quotePrefix="0" xfId="0">
      <alignment horizontal="center"/>
      <protection locked="0" hidden="0"/>
    </xf>
    <xf numFmtId="0" fontId="15" fillId="0" borderId="0" applyAlignment="1" pivotButton="0" quotePrefix="0" xfId="6">
      <alignment horizontal="center" vertical="center"/>
    </xf>
    <xf numFmtId="0" fontId="14" fillId="0" borderId="0" applyAlignment="1" pivotButton="0" quotePrefix="0" xfId="6">
      <alignment horizontal="center" vertical="center"/>
    </xf>
    <xf numFmtId="0" fontId="14" fillId="0" borderId="17" applyAlignment="1" pivotButton="0" quotePrefix="0" xfId="6">
      <alignment horizontal="center" vertical="center"/>
    </xf>
    <xf numFmtId="0" fontId="14" fillId="0" borderId="0" applyAlignment="1" pivotButton="0" quotePrefix="0" xfId="6">
      <alignment horizontal="center" vertical="center"/>
    </xf>
    <xf numFmtId="16" fontId="0" fillId="2" borderId="17" applyAlignment="1" applyProtection="1" pivotButton="0" quotePrefix="0" xfId="0">
      <alignment horizontal="center"/>
      <protection locked="0" hidden="0"/>
    </xf>
    <xf numFmtId="16" fontId="0" fillId="2" borderId="17" applyAlignment="1" pivotButton="0" quotePrefix="0" xfId="0">
      <alignment horizontal="center"/>
    </xf>
    <xf numFmtId="0" fontId="20" fillId="3" borderId="1" applyAlignment="1" pivotButton="0" quotePrefix="0" xfId="0">
      <alignment horizontal="center" vertical="center"/>
    </xf>
    <xf numFmtId="0" fontId="20" fillId="3" borderId="6" applyAlignment="1" pivotButton="0" quotePrefix="0" xfId="0">
      <alignment horizontal="center" vertical="center"/>
    </xf>
    <xf numFmtId="0" fontId="20" fillId="3" borderId="5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0" fillId="3" borderId="0" applyAlignment="1" applyProtection="1" pivotButton="0" quotePrefix="0" xfId="0">
      <alignment vertical="center"/>
      <protection locked="0" hidden="0"/>
    </xf>
    <xf numFmtId="0" fontId="0" fillId="0" borderId="24" applyAlignment="1" applyProtection="1" pivotButton="0" quotePrefix="0" xfId="0">
      <alignment horizontal="center"/>
      <protection locked="0" hidden="0"/>
    </xf>
    <xf numFmtId="0" fontId="0" fillId="0" borderId="12" applyAlignment="1" applyProtection="1" pivotButton="0" quotePrefix="0" xfId="0">
      <alignment horizontal="center"/>
      <protection locked="0" hidden="0"/>
    </xf>
    <xf numFmtId="0" fontId="4" fillId="0" borderId="24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Alignment="1" applyProtection="1" pivotButton="0" quotePrefix="0" xfId="0">
      <alignment horizontal="center"/>
      <protection locked="0" hidden="0"/>
    </xf>
    <xf numFmtId="0" fontId="0" fillId="0" borderId="24" applyAlignment="1" applyProtection="1" pivotButton="0" quotePrefix="0" xfId="0">
      <alignment horizontal="center"/>
      <protection locked="0" hidden="0"/>
    </xf>
    <xf numFmtId="0" fontId="23" fillId="0" borderId="17" applyAlignment="1" pivotButton="0" quotePrefix="0" xfId="0">
      <alignment horizontal="center" vertical="center"/>
    </xf>
    <xf numFmtId="0" fontId="0" fillId="0" borderId="24" applyAlignment="1" applyProtection="1" pivotButton="0" quotePrefix="0" xfId="0">
      <alignment horizontal="center"/>
      <protection locked="0" hidden="0"/>
    </xf>
    <xf numFmtId="0" fontId="0" fillId="3" borderId="16" applyAlignment="1" applyProtection="1" pivotButton="0" quotePrefix="0" xfId="0">
      <alignment horizontal="center"/>
      <protection locked="0" hidden="0"/>
    </xf>
    <xf numFmtId="0" fontId="0" fillId="3" borderId="24" applyAlignment="1" applyProtection="1" pivotButton="0" quotePrefix="0" xfId="0">
      <alignment horizontal="center"/>
      <protection locked="0" hidden="0"/>
    </xf>
    <xf numFmtId="0" fontId="0" fillId="0" borderId="14" applyAlignment="1" applyProtection="1" pivotButton="0" quotePrefix="0" xfId="0">
      <alignment horizontal="center"/>
      <protection locked="0" hidden="0"/>
    </xf>
    <xf numFmtId="0" fontId="0" fillId="0" borderId="24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3" borderId="29" applyAlignment="1" applyProtection="1" pivotButton="0" quotePrefix="0" xfId="0">
      <alignment horizontal="center"/>
      <protection locked="0" hidden="0"/>
    </xf>
    <xf numFmtId="0" fontId="0" fillId="3" borderId="26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4" fillId="3" borderId="15" applyAlignment="1" applyProtection="1" pivotButton="0" quotePrefix="0" xfId="0">
      <alignment horizontal="center"/>
      <protection locked="0" hidden="0"/>
    </xf>
    <xf numFmtId="0" fontId="4" fillId="3" borderId="16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24" applyAlignment="1" applyProtection="1" pivotButton="0" quotePrefix="0" xfId="0">
      <alignment horizontal="center"/>
      <protection locked="0" hidden="0"/>
    </xf>
    <xf numFmtId="0" fontId="0" fillId="0" borderId="24" applyAlignment="1" applyProtection="1" pivotButton="0" quotePrefix="0" xfId="0">
      <alignment horizontal="center"/>
      <protection locked="0" hidden="0"/>
    </xf>
    <xf numFmtId="0" fontId="15" fillId="0" borderId="0" applyAlignment="1" pivotButton="0" quotePrefix="0" xfId="6">
      <alignment horizontal="center" vertical="center"/>
    </xf>
    <xf numFmtId="0" fontId="14" fillId="0" borderId="0" applyAlignment="1" pivotButton="0" quotePrefix="0" xfId="6">
      <alignment horizontal="center" vertical="center"/>
    </xf>
    <xf numFmtId="0" fontId="14" fillId="0" borderId="17" applyAlignment="1" pivotButton="0" quotePrefix="0" xfId="6">
      <alignment horizontal="center" vertical="center"/>
    </xf>
    <xf numFmtId="0" fontId="14" fillId="0" borderId="0" applyAlignment="1" pivotButton="0" quotePrefix="0" xfId="6">
      <alignment horizontal="center" vertical="center"/>
    </xf>
    <xf numFmtId="0" fontId="14" fillId="0" borderId="17" applyAlignment="1" pivotButton="0" quotePrefix="0" xfId="6">
      <alignment horizontal="center" vertical="center"/>
    </xf>
    <xf numFmtId="0" fontId="3" fillId="3" borderId="0" applyAlignment="1" applyProtection="1" pivotButton="0" quotePrefix="0" xfId="0">
      <alignment horizontal="center"/>
      <protection locked="0" hidden="0"/>
    </xf>
    <xf numFmtId="0" fontId="0" fillId="0" borderId="17" applyAlignment="1" pivotButton="0" quotePrefix="0" xfId="0">
      <alignment horizontal="center" vertical="center"/>
    </xf>
    <xf numFmtId="0" fontId="20" fillId="3" borderId="0" applyProtection="1" pivotButton="0" quotePrefix="0" xfId="0">
      <protection locked="0" hidden="0"/>
    </xf>
    <xf numFmtId="0" fontId="20" fillId="3" borderId="0" applyAlignment="1" pivotButton="0" quotePrefix="0" xfId="0">
      <alignment horizontal="center" vertical="center"/>
    </xf>
    <xf numFmtId="0" fontId="0" fillId="3" borderId="37" applyAlignment="1" applyProtection="1" pivotButton="0" quotePrefix="0" xfId="0">
      <alignment horizontal="center"/>
      <protection locked="0" hidden="0"/>
    </xf>
    <xf numFmtId="0" fontId="0" fillId="0" borderId="24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24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3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24" applyAlignment="1" applyProtection="1" pivotButton="0" quotePrefix="0" xfId="0">
      <alignment horizontal="center"/>
      <protection locked="0" hidden="0"/>
    </xf>
    <xf numFmtId="0" fontId="0" fillId="0" borderId="24" applyAlignment="1" applyProtection="1" pivotButton="0" quotePrefix="0" xfId="0">
      <alignment horizontal="center"/>
      <protection locked="0" hidden="0"/>
    </xf>
    <xf numFmtId="0" fontId="20" fillId="3" borderId="5" applyAlignment="1" pivotButton="0" quotePrefix="0" xfId="0">
      <alignment horizontal="center" vertical="center"/>
    </xf>
    <xf numFmtId="0" fontId="0" fillId="0" borderId="24" applyAlignment="1" applyProtection="1" pivotButton="0" quotePrefix="0" xfId="0">
      <alignment horizontal="center"/>
      <protection locked="0" hidden="0"/>
    </xf>
    <xf numFmtId="0" fontId="0" fillId="0" borderId="13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3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14" fillId="0" borderId="17" applyAlignment="1" pivotButton="0" quotePrefix="0" xfId="6">
      <alignment horizontal="center" vertical="center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3" fillId="7" borderId="5" applyAlignment="1" applyProtection="1" pivotButton="0" quotePrefix="0" xfId="0">
      <alignment horizontal="center" vertical="center"/>
      <protection locked="0" hidden="0"/>
    </xf>
    <xf numFmtId="0" fontId="3" fillId="7" borderId="6" applyAlignment="1" applyProtection="1" pivotButton="0" quotePrefix="0" xfId="0">
      <alignment horizontal="center" vertical="center"/>
      <protection locked="0" hidden="0"/>
    </xf>
    <xf numFmtId="0" fontId="3" fillId="7" borderId="7" applyAlignment="1" applyProtection="1" pivotButton="0" quotePrefix="0" xfId="0">
      <alignment horizontal="center" vertical="center"/>
      <protection locked="0" hidden="0"/>
    </xf>
    <xf numFmtId="0" fontId="3" fillId="5" borderId="5" applyAlignment="1" applyProtection="1" pivotButton="0" quotePrefix="0" xfId="0">
      <alignment horizontal="center" vertical="center"/>
      <protection locked="0" hidden="0"/>
    </xf>
    <xf numFmtId="0" fontId="3" fillId="5" borderId="6" applyAlignment="1" applyProtection="1" pivotButton="0" quotePrefix="0" xfId="0">
      <alignment horizontal="center" vertical="center"/>
      <protection locked="0" hidden="0"/>
    </xf>
    <xf numFmtId="0" fontId="3" fillId="5" borderId="7" applyAlignment="1" applyProtection="1" pivotButton="0" quotePrefix="0" xfId="0">
      <alignment horizontal="center" vertical="center"/>
      <protection locked="0" hidden="0"/>
    </xf>
    <xf numFmtId="0" fontId="3" fillId="6" borderId="5" applyAlignment="1" applyProtection="1" pivotButton="0" quotePrefix="0" xfId="0">
      <alignment horizontal="center" vertical="center"/>
      <protection locked="0" hidden="0"/>
    </xf>
    <xf numFmtId="0" fontId="3" fillId="6" borderId="6" applyAlignment="1" applyProtection="1" pivotButton="0" quotePrefix="0" xfId="0">
      <alignment horizontal="center" vertical="center"/>
      <protection locked="0" hidden="0"/>
    </xf>
    <xf numFmtId="0" fontId="3" fillId="6" borderId="7" applyAlignment="1" applyProtection="1" pivotButton="0" quotePrefix="0" xfId="0">
      <alignment horizontal="center" vertical="center"/>
      <protection locked="0" hidden="0"/>
    </xf>
    <xf numFmtId="0" fontId="2" fillId="3" borderId="28" applyAlignment="1" applyProtection="1" pivotButton="0" quotePrefix="0" xfId="0">
      <alignment horizontal="center"/>
      <protection locked="0" hidden="0"/>
    </xf>
    <xf numFmtId="0" fontId="2" fillId="3" borderId="9" applyAlignment="1" applyProtection="1" pivotButton="0" quotePrefix="0" xfId="0">
      <alignment horizontal="center"/>
      <protection locked="0" hidden="0"/>
    </xf>
    <xf numFmtId="0" fontId="2" fillId="3" borderId="8" applyAlignment="1" applyProtection="1" pivotButton="0" quotePrefix="0" xfId="0">
      <alignment horizontal="center"/>
      <protection locked="0" hidden="0"/>
    </xf>
    <xf numFmtId="0" fontId="3" fillId="6" borderId="5" applyAlignment="1" applyProtection="1" pivotButton="0" quotePrefix="0" xfId="0">
      <alignment horizontal="center" vertical="center" wrapText="1"/>
      <protection locked="0" hidden="0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5" borderId="5" applyAlignment="1" applyProtection="1" pivotButton="0" quotePrefix="0" xfId="0">
      <alignment horizontal="center" wrapText="1"/>
      <protection locked="0" hidden="0"/>
    </xf>
    <xf numFmtId="0" fontId="3" fillId="5" borderId="6" applyAlignment="1" applyProtection="1" pivotButton="0" quotePrefix="0" xfId="0">
      <alignment horizontal="center" wrapText="1"/>
      <protection locked="0" hidden="0"/>
    </xf>
    <xf numFmtId="0" fontId="3" fillId="5" borderId="7" applyAlignment="1" applyProtection="1" pivotButton="0" quotePrefix="0" xfId="0">
      <alignment horizontal="center" wrapText="1"/>
      <protection locked="0" hidden="0"/>
    </xf>
    <xf numFmtId="0" fontId="20" fillId="3" borderId="5" applyAlignment="1" pivotButton="0" quotePrefix="0" xfId="0">
      <alignment horizontal="center" vertical="center"/>
    </xf>
    <xf numFmtId="0" fontId="20" fillId="3" borderId="7" applyAlignment="1" pivotButton="0" quotePrefix="0" xfId="0">
      <alignment horizontal="center" vertical="center"/>
    </xf>
    <xf numFmtId="0" fontId="3" fillId="3" borderId="0" applyAlignment="1" applyProtection="1" pivotButton="0" quotePrefix="0" xfId="0">
      <alignment horizontal="center"/>
      <protection locked="0" hidden="0"/>
    </xf>
    <xf numFmtId="0" fontId="3" fillId="8" borderId="5" applyAlignment="1" applyProtection="1" pivotButton="0" quotePrefix="0" xfId="0">
      <alignment horizontal="center" vertical="center" wrapText="1"/>
      <protection locked="0" hidden="0"/>
    </xf>
    <xf numFmtId="0" fontId="1" fillId="8" borderId="6" applyAlignment="1" pivotButton="0" quotePrefix="0" xfId="0">
      <alignment horizontal="center" vertical="center" wrapText="1"/>
    </xf>
    <xf numFmtId="0" fontId="1" fillId="8" borderId="7" applyAlignment="1" pivotButton="0" quotePrefix="0" xfId="0">
      <alignment horizontal="center" vertical="center" wrapText="1"/>
    </xf>
    <xf numFmtId="0" fontId="3" fillId="8" borderId="5" applyAlignment="1" applyProtection="1" pivotButton="0" quotePrefix="0" xfId="0">
      <alignment horizontal="center" vertical="center"/>
      <protection locked="0" hidden="0"/>
    </xf>
    <xf numFmtId="0" fontId="3" fillId="8" borderId="6" applyAlignment="1" applyProtection="1" pivotButton="0" quotePrefix="0" xfId="0">
      <alignment horizontal="center" vertical="center"/>
      <protection locked="0" hidden="0"/>
    </xf>
    <xf numFmtId="0" fontId="3" fillId="8" borderId="7" applyAlignment="1" applyProtection="1" pivotButton="0" quotePrefix="0" xfId="0">
      <alignment horizontal="center" vertical="center"/>
      <protection locked="0" hidden="0"/>
    </xf>
    <xf numFmtId="0" fontId="0" fillId="0" borderId="2" applyAlignment="1" applyProtection="1" pivotButton="0" quotePrefix="0" xfId="0">
      <alignment horizontal="center" vertical="center"/>
      <protection locked="0" hidden="0"/>
    </xf>
    <xf numFmtId="0" fontId="0" fillId="0" borderId="3" applyAlignment="1" applyProtection="1" pivotButton="0" quotePrefix="0" xfId="0">
      <alignment horizontal="center" vertical="center"/>
      <protection locked="0" hidden="0"/>
    </xf>
    <xf numFmtId="0" fontId="0" fillId="0" borderId="14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14" applyAlignment="1" applyProtection="1" pivotButton="0" quotePrefix="0" xfId="0">
      <alignment horizontal="center"/>
      <protection locked="0" hidden="0"/>
    </xf>
    <xf numFmtId="0" fontId="0" fillId="0" borderId="24" applyAlignment="1" applyProtection="1" pivotButton="0" quotePrefix="0" xfId="0">
      <alignment horizontal="center"/>
      <protection locked="0" hidden="0"/>
    </xf>
    <xf numFmtId="0" fontId="0" fillId="0" borderId="14" applyAlignment="1" applyProtection="1" pivotButton="0" quotePrefix="0" xfId="0">
      <alignment horizontal="center"/>
      <protection locked="0" hidden="0"/>
    </xf>
    <xf numFmtId="0" fontId="0" fillId="0" borderId="24" applyAlignment="1" applyProtection="1" pivotButton="0" quotePrefix="0" xfId="0">
      <alignment horizontal="center"/>
      <protection locked="0" hidden="0"/>
    </xf>
    <xf numFmtId="0" fontId="0" fillId="0" borderId="2" applyAlignment="1" applyProtection="1" pivotButton="0" quotePrefix="0" xfId="0">
      <alignment horizontal="center" vertical="center"/>
      <protection locked="0" hidden="0"/>
    </xf>
    <xf numFmtId="0" fontId="0" fillId="0" borderId="3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8" applyAlignment="1" applyProtection="1" pivotButton="0" quotePrefix="0" xfId="0">
      <alignment horizontal="center"/>
      <protection locked="0" hidden="0"/>
    </xf>
    <xf numFmtId="0" fontId="0" fillId="0" borderId="28" applyAlignment="1" applyProtection="1" pivotButton="0" quotePrefix="0" xfId="0">
      <alignment horizontal="center"/>
      <protection locked="0" hidden="0"/>
    </xf>
    <xf numFmtId="0" fontId="0" fillId="0" borderId="9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8" applyAlignment="1" applyProtection="1" pivotButton="0" quotePrefix="0" xfId="0">
      <alignment horizontal="center" vertical="center"/>
      <protection locked="0" hidden="0"/>
    </xf>
    <xf numFmtId="0" fontId="0" fillId="0" borderId="9" applyAlignment="1" applyProtection="1" pivotButton="0" quotePrefix="0" xfId="0">
      <alignment horizontal="center" vertical="center"/>
      <protection locked="0" hidden="0"/>
    </xf>
    <xf numFmtId="0" fontId="0" fillId="0" borderId="12" applyAlignment="1" applyProtection="1" pivotButton="0" quotePrefix="0" xfId="0">
      <alignment horizontal="center" vertical="center"/>
      <protection locked="0" hidden="0"/>
    </xf>
    <xf numFmtId="0" fontId="0" fillId="0" borderId="13" applyAlignment="1" applyProtection="1" pivotButton="0" quotePrefix="0" xfId="0">
      <alignment horizontal="center" vertical="center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0" fillId="0" borderId="17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14" applyAlignment="1" applyProtection="1" pivotButton="0" quotePrefix="0" xfId="0">
      <alignment horizontal="center" vertical="center" wrapText="1"/>
      <protection locked="0" hidden="0"/>
    </xf>
    <xf numFmtId="0" fontId="0" fillId="0" borderId="24" applyAlignment="1" applyProtection="1" pivotButton="0" quotePrefix="0" xfId="0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/>
      <protection locked="0" hidden="0"/>
    </xf>
    <xf numFmtId="0" fontId="0" fillId="0" borderId="11" applyAlignment="1" applyProtection="1" pivotButton="0" quotePrefix="0" xfId="0">
      <alignment horizontal="center"/>
      <protection locked="0" hidden="0"/>
    </xf>
    <xf numFmtId="0" fontId="0" fillId="0" borderId="12" applyAlignment="1" applyProtection="1" pivotButton="0" quotePrefix="0" xfId="0">
      <alignment horizontal="center"/>
      <protection locked="0" hidden="0"/>
    </xf>
    <xf numFmtId="0" fontId="0" fillId="0" borderId="13" applyAlignment="1" applyProtection="1" pivotButton="0" quotePrefix="0" xfId="0">
      <alignment horizontal="center"/>
      <protection locked="0" hidden="0"/>
    </xf>
    <xf numFmtId="0" fontId="0" fillId="0" borderId="12" applyAlignment="1" applyProtection="1" pivotButton="0" quotePrefix="0" xfId="0">
      <alignment horizontal="center"/>
      <protection locked="0" hidden="0"/>
    </xf>
    <xf numFmtId="0" fontId="0" fillId="0" borderId="13" applyAlignment="1" applyProtection="1" pivotButton="0" quotePrefix="0" xfId="0">
      <alignment horizontal="center"/>
      <protection locked="0" hidden="0"/>
    </xf>
    <xf numFmtId="0" fontId="0" fillId="0" borderId="12" applyAlignment="1" applyProtection="1" pivotButton="0" quotePrefix="0" xfId="0">
      <alignment horizontal="center"/>
      <protection locked="0" hidden="0"/>
    </xf>
    <xf numFmtId="0" fontId="0" fillId="0" borderId="13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 vertical="center"/>
      <protection locked="0" hidden="0"/>
    </xf>
    <xf numFmtId="0" fontId="0" fillId="0" borderId="7" applyAlignment="1" applyProtection="1" pivotButton="0" quotePrefix="0" xfId="0">
      <alignment horizontal="center" vertical="center"/>
      <protection locked="0" hidden="0"/>
    </xf>
    <xf numFmtId="0" fontId="0" fillId="0" borderId="10" applyAlignment="1" applyProtection="1" pivotButton="0" quotePrefix="0" xfId="0">
      <alignment horizontal="center" vertical="center"/>
      <protection locked="0" hidden="0"/>
    </xf>
    <xf numFmtId="0" fontId="0" fillId="0" borderId="11" applyAlignment="1" applyProtection="1" pivotButton="0" quotePrefix="0" xfId="0">
      <alignment horizontal="center" vertical="center"/>
      <protection locked="0" hidden="0"/>
    </xf>
    <xf numFmtId="0" fontId="0" fillId="0" borderId="8" applyAlignment="1" applyProtection="1" pivotButton="0" quotePrefix="0" xfId="0">
      <alignment horizontal="center"/>
      <protection locked="0" hidden="0"/>
    </xf>
    <xf numFmtId="0" fontId="0" fillId="0" borderId="9" applyAlignment="1" applyProtection="1" pivotButton="0" quotePrefix="0" xfId="0">
      <alignment horizontal="center"/>
      <protection locked="0" hidden="0"/>
    </xf>
    <xf numFmtId="0" fontId="0" fillId="0" borderId="4" applyAlignment="1" applyProtection="1" pivotButton="0" quotePrefix="0" xfId="0">
      <alignment horizontal="center" vertical="center"/>
      <protection locked="0" hidden="0"/>
    </xf>
    <xf numFmtId="0" fontId="0" fillId="0" borderId="12" applyAlignment="1" applyProtection="1" pivotButton="0" quotePrefix="0" xfId="0">
      <alignment horizontal="center" vertical="center" wrapText="1"/>
      <protection locked="0" hidden="0"/>
    </xf>
    <xf numFmtId="0" fontId="0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4" applyAlignment="1" applyProtection="1" pivotButton="0" quotePrefix="0" xfId="0">
      <alignment horizontal="center" vertical="center"/>
      <protection locked="0" hidden="0"/>
    </xf>
    <xf numFmtId="0" fontId="13" fillId="0" borderId="0" applyAlignment="1" pivotButton="0" quotePrefix="0" xfId="6">
      <alignment horizontal="center" vertical="center" wrapText="1"/>
    </xf>
    <xf numFmtId="0" fontId="15" fillId="0" borderId="0" applyAlignment="1" pivotButton="0" quotePrefix="0" xfId="6">
      <alignment horizontal="center" vertical="center"/>
    </xf>
    <xf numFmtId="0" fontId="15" fillId="0" borderId="20" applyAlignment="1" pivotButton="0" quotePrefix="0" xfId="6">
      <alignment horizontal="center" vertical="center"/>
    </xf>
    <xf numFmtId="0" fontId="14" fillId="0" borderId="0" applyAlignment="1" pivotButton="0" quotePrefix="0" xfId="6">
      <alignment horizontal="center" vertical="center"/>
    </xf>
    <xf numFmtId="3" fontId="15" fillId="0" borderId="0" applyAlignment="1" pivotButton="0" quotePrefix="0" xfId="6">
      <alignment horizontal="center" vertical="center"/>
    </xf>
    <xf numFmtId="0" fontId="14" fillId="0" borderId="0" applyAlignment="1" pivotButton="0" quotePrefix="0" xfId="6">
      <alignment horizontal="center"/>
    </xf>
    <xf numFmtId="0" fontId="16" fillId="0" borderId="17" applyAlignment="1" pivotButton="0" quotePrefix="0" xfId="6">
      <alignment horizontal="center"/>
    </xf>
    <xf numFmtId="0" fontId="14" fillId="0" borderId="17" applyAlignment="1" pivotButton="0" quotePrefix="0" xfId="6">
      <alignment horizontal="center" vertical="center"/>
    </xf>
    <xf numFmtId="0" fontId="14" fillId="0" borderId="21" pivotButton="0" quotePrefix="0" xfId="6"/>
    <xf numFmtId="0" fontId="16" fillId="0" borderId="21" applyAlignment="1" pivotButton="0" quotePrefix="0" xfId="6">
      <alignment horizontal="center"/>
    </xf>
    <xf numFmtId="0" fontId="21" fillId="0" borderId="17" applyAlignment="1" pivotButton="0" quotePrefix="0" xfId="6">
      <alignment horizontal="center" vertical="center"/>
    </xf>
    <xf numFmtId="0" fontId="16" fillId="0" borderId="21" applyAlignment="1" pivotButton="0" quotePrefix="0" xfId="6">
      <alignment horizontal="center" vertical="center"/>
    </xf>
    <xf numFmtId="0" fontId="22" fillId="0" borderId="0" applyAlignment="1" pivotButton="0" quotePrefix="0" xfId="6">
      <alignment horizontal="center" vertical="center"/>
    </xf>
    <xf numFmtId="0" fontId="14" fillId="0" borderId="0" applyAlignment="1" pivotButton="0" quotePrefix="0" xfId="6">
      <alignment horizontal="center" vertical="center"/>
    </xf>
    <xf numFmtId="0" fontId="14" fillId="0" borderId="36" applyAlignment="1" pivotButton="0" quotePrefix="0" xfId="6">
      <alignment horizontal="center" vertical="center"/>
    </xf>
    <xf numFmtId="0" fontId="16" fillId="0" borderId="14" applyAlignment="1" pivotButton="0" quotePrefix="0" xfId="6">
      <alignment horizontal="center" vertical="center"/>
    </xf>
    <xf numFmtId="0" fontId="16" fillId="0" borderId="24" applyAlignment="1" pivotButton="0" quotePrefix="0" xfId="6">
      <alignment horizontal="center" vertical="center"/>
    </xf>
    <xf numFmtId="0" fontId="0" fillId="3" borderId="14" applyAlignment="1" applyProtection="1" pivotButton="0" quotePrefix="0" xfId="0">
      <alignment horizontal="center"/>
      <protection locked="0" hidden="0"/>
    </xf>
    <xf numFmtId="0" fontId="0" fillId="3" borderId="24" applyAlignment="1" applyProtection="1" pivotButton="0" quotePrefix="0" xfId="0">
      <alignment horizontal="center"/>
      <protection locked="0" hidden="0"/>
    </xf>
    <xf numFmtId="0" fontId="0" fillId="3" borderId="14" applyAlignment="1" pivotButton="0" quotePrefix="0" xfId="0">
      <alignment horizontal="center"/>
    </xf>
    <xf numFmtId="0" fontId="0" fillId="3" borderId="24" applyAlignment="1" pivotButton="0" quotePrefix="0" xfId="0">
      <alignment horizontal="center"/>
    </xf>
    <xf numFmtId="0" fontId="20" fillId="3" borderId="14" applyAlignment="1" pivotButton="0" quotePrefix="0" xfId="0">
      <alignment horizontal="center"/>
    </xf>
    <xf numFmtId="0" fontId="20" fillId="3" borderId="24" applyAlignment="1" pivotButton="0" quotePrefix="0" xfId="0">
      <alignment horizontal="center"/>
    </xf>
    <xf numFmtId="0" fontId="0" fillId="3" borderId="14" applyAlignment="1" applyProtection="1" pivotButton="0" quotePrefix="0" xfId="0">
      <alignment horizontal="center" vertical="center"/>
      <protection locked="0" hidden="0"/>
    </xf>
    <xf numFmtId="0" fontId="0" fillId="3" borderId="33" applyAlignment="1" applyProtection="1" pivotButton="0" quotePrefix="0" xfId="0">
      <alignment horizontal="center" vertical="center"/>
      <protection locked="0" hidden="0"/>
    </xf>
    <xf numFmtId="0" fontId="0" fillId="3" borderId="24" applyAlignment="1" applyProtection="1" pivotButton="0" quotePrefix="0" xfId="0">
      <alignment horizontal="center" vertical="center"/>
      <protection locked="0" hidden="0"/>
    </xf>
    <xf numFmtId="0" fontId="3" fillId="5" borderId="1" applyAlignment="1" applyProtection="1" pivotButton="0" quotePrefix="0" xfId="0">
      <alignment horizont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3" fillId="6" borderId="1" applyAlignment="1" applyProtection="1" pivotButton="0" quotePrefix="0" xfId="0">
      <alignment horizontal="center" vertical="center" wrapText="1"/>
      <protection locked="0" hidden="0"/>
    </xf>
    <xf numFmtId="0" fontId="3" fillId="7" borderId="1" applyAlignment="1" applyProtection="1" pivotButton="0" quotePrefix="0" xfId="0">
      <alignment horizontal="center" vertical="center"/>
      <protection locked="0" hidden="0"/>
    </xf>
    <xf numFmtId="0" fontId="3" fillId="8" borderId="1" applyAlignment="1" applyProtection="1" pivotButton="0" quotePrefix="0" xfId="0">
      <alignment horizontal="center" vertical="center" wrapText="1"/>
      <protection locked="0" hidden="0"/>
    </xf>
    <xf numFmtId="0" fontId="3" fillId="5" borderId="1" applyAlignment="1" applyProtection="1" pivotButton="0" quotePrefix="0" xfId="0">
      <alignment horizontal="center" vertical="center"/>
      <protection locked="0" hidden="0"/>
    </xf>
    <xf numFmtId="0" fontId="3" fillId="6" borderId="1" applyAlignment="1" applyProtection="1" pivotButton="0" quotePrefix="0" xfId="0">
      <alignment horizontal="center" vertical="center"/>
      <protection locked="0" hidden="0"/>
    </xf>
    <xf numFmtId="0" fontId="3" fillId="8" borderId="1" applyAlignment="1" applyProtection="1" pivotButton="0" quotePrefix="0" xfId="0">
      <alignment horizontal="center" vertical="center"/>
      <protection locked="0" hidden="0"/>
    </xf>
    <xf numFmtId="0" fontId="2" fillId="3" borderId="2" applyAlignment="1" applyProtection="1" pivotButton="0" quotePrefix="0" xfId="0">
      <alignment horizont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7" pivotButton="0" quotePrefix="0" xfId="0"/>
    <xf numFmtId="0" fontId="0" fillId="0" borderId="28" applyProtection="1" pivotButton="0" quotePrefix="0" xfId="0"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24" pivotButton="0" quotePrefix="0" xfId="0"/>
    <xf numFmtId="0" fontId="0" fillId="0" borderId="24" applyProtection="1" pivotButton="0" quotePrefix="0" xfId="0">
      <protection locked="0" hidden="0"/>
    </xf>
    <xf numFmtId="0" fontId="0" fillId="0" borderId="31" applyAlignment="1" pivotButton="0" quotePrefix="0" xfId="0">
      <alignment horizontal="center"/>
    </xf>
    <xf numFmtId="0" fontId="0" fillId="0" borderId="29" pivotButton="0" quotePrefix="0" xfId="0"/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13" pivotButton="0" quotePrefix="0" xfId="0"/>
    <xf numFmtId="0" fontId="0" fillId="0" borderId="3" applyAlignment="1" applyProtection="1" pivotButton="0" quotePrefix="0" xfId="0">
      <alignment horizontal="center" vertical="center" wrapText="1"/>
      <protection locked="0" hidden="0"/>
    </xf>
    <xf numFmtId="0" fontId="0" fillId="0" borderId="20" pivotButton="0" quotePrefix="0" xfId="0"/>
    <xf numFmtId="0" fontId="0" fillId="0" borderId="33" pivotButton="0" quotePrefix="0" xfId="0"/>
    <xf numFmtId="0" fontId="0" fillId="0" borderId="21" pivotButton="0" quotePrefix="0" xfId="0"/>
    <xf numFmtId="0" fontId="0" fillId="0" borderId="36" pivotButton="0" quotePrefix="0" xfId="0"/>
    <xf numFmtId="0" fontId="16" fillId="0" borderId="17" applyAlignment="1" pivotButton="0" quotePrefix="0" xfId="6">
      <alignment horizontal="center" vertical="center"/>
    </xf>
    <xf numFmtId="0" fontId="0" fillId="3" borderId="17" applyAlignment="1" applyProtection="1" pivotButton="0" quotePrefix="0" xfId="0">
      <alignment horizontal="center" vertical="center"/>
      <protection locked="0" hidden="0"/>
    </xf>
    <xf numFmtId="0" fontId="0" fillId="0" borderId="33" applyProtection="1" pivotButton="0" quotePrefix="0" xfId="0">
      <protection locked="0" hidden="0"/>
    </xf>
    <xf numFmtId="0" fontId="0" fillId="3" borderId="17" applyAlignment="1" pivotButton="0" quotePrefix="0" xfId="0">
      <alignment horizontal="center"/>
    </xf>
    <xf numFmtId="0" fontId="20" fillId="3" borderId="17" applyAlignment="1" pivotButton="0" quotePrefix="0" xfId="0">
      <alignment horizontal="center"/>
    </xf>
  </cellXfs>
  <cellStyles count="8">
    <cellStyle name="Normal" xfId="0" builtinId="0"/>
    <cellStyle name="Normal 2" xfId="1"/>
    <cellStyle name="Hyperlink 2" xfId="2"/>
    <cellStyle name="Normal 3" xfId="3"/>
    <cellStyle name="Comma 2" xfId="4"/>
    <cellStyle name="Normal 4" xfId="5"/>
    <cellStyle name="Normal 2 2" xfId="6"/>
    <cellStyle name="Normal 4 2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D43"/>
  <sheetViews>
    <sheetView tabSelected="1" zoomScale="90" zoomScaleNormal="90" workbookViewId="0">
      <selection activeCell="S19" sqref="S19"/>
    </sheetView>
  </sheetViews>
  <sheetFormatPr baseColWidth="8" defaultRowHeight="15"/>
  <cols>
    <col width="10.140625" customWidth="1" style="47" min="1" max="1"/>
    <col width="14.85546875" customWidth="1" style="47" min="2" max="2"/>
    <col width="13" customWidth="1" style="47" min="3" max="3"/>
    <col width="1.42578125" customWidth="1" style="47" min="4" max="4"/>
    <col width="5.5703125" bestFit="1" customWidth="1" style="47" min="5" max="5"/>
    <col width="4.5703125" customWidth="1" style="47" min="6" max="6"/>
    <col width="5.5703125" bestFit="1" customWidth="1" style="47" min="7" max="7"/>
    <col width="4.5703125" customWidth="1" style="47" min="8" max="8"/>
    <col width="2.7109375" customWidth="1" style="47" min="9" max="9"/>
    <col width="5.5703125" bestFit="1" customWidth="1" style="47" min="10" max="10"/>
    <col width="4.140625" customWidth="1" style="47" min="11" max="11"/>
    <col width="5.5703125" bestFit="1" customWidth="1" style="47" min="12" max="12"/>
    <col width="5.140625" customWidth="1" style="47" min="13" max="13"/>
    <col width="2.5703125" customWidth="1" style="47" min="14" max="14"/>
    <col width="5.5703125" bestFit="1" customWidth="1" style="47" min="15" max="15"/>
    <col width="4.5703125" customWidth="1" style="47" min="16" max="16"/>
    <col width="5.5703125" bestFit="1" customWidth="1" style="47" min="17" max="17"/>
    <col width="4.5703125" customWidth="1" style="47" min="18" max="18"/>
    <col width="2.7109375" customWidth="1" style="47" min="19" max="19"/>
    <col width="5.5703125" bestFit="1" customWidth="1" style="47" min="20" max="20"/>
    <col width="4.5703125" customWidth="1" style="47" min="21" max="21"/>
    <col width="5.85546875" bestFit="1" customWidth="1" style="47" min="22" max="22"/>
    <col width="5" customWidth="1" style="47" min="23" max="23"/>
    <col width="2.7109375" customWidth="1" style="47" min="24" max="24"/>
    <col width="5.5703125" bestFit="1" customWidth="1" style="47" min="25" max="25"/>
    <col width="4.5703125" customWidth="1" style="47" min="26" max="26"/>
    <col width="5.5703125" bestFit="1" customWidth="1" style="47" min="27" max="27"/>
    <col width="5" customWidth="1" style="47" min="28" max="28"/>
    <col width="2.7109375" customWidth="1" style="47" min="29" max="29"/>
    <col width="7.140625" customWidth="1" style="47" min="30" max="30"/>
    <col width="4" customWidth="1" style="47" min="31" max="31"/>
    <col width="7.140625" customWidth="1" style="47" min="32" max="32"/>
    <col width="3.140625" customWidth="1" style="47" min="33" max="33"/>
    <col width="2.7109375" customWidth="1" style="47" min="34" max="34"/>
    <col width="5.7109375" customWidth="1" style="47" min="35" max="35"/>
    <col width="4.5703125" customWidth="1" style="47" min="36" max="36"/>
    <col width="5.5703125" customWidth="1" style="47" min="37" max="37"/>
    <col width="4.5703125" customWidth="1" style="47" min="38" max="38"/>
    <col width="2.7109375" customWidth="1" style="47" min="39" max="39"/>
    <col width="5.5703125" customWidth="1" style="47" min="40" max="40"/>
    <col width="4.42578125" customWidth="1" style="47" min="41" max="41"/>
    <col width="6.42578125" customWidth="1" style="47" min="42" max="42"/>
    <col width="4.5703125" customWidth="1" style="47" min="43" max="43"/>
    <col width="2.7109375" customWidth="1" style="47" min="44" max="44"/>
    <col width="2.28515625" customWidth="1" style="47" min="45" max="45"/>
    <col width="2.5703125" customWidth="1" style="47" min="46" max="46"/>
    <col width="9.140625" customWidth="1" style="47" min="47" max="48"/>
    <col width="4.28515625" customWidth="1" style="47" min="49" max="49"/>
    <col width="10.7109375" bestFit="1" customWidth="1" style="47" min="50" max="50"/>
    <col width="9.85546875" bestFit="1" customWidth="1" style="47" min="51" max="51"/>
    <col width="10.140625" bestFit="1" customWidth="1" style="47" min="52" max="52"/>
    <col width="9.140625" customWidth="1" style="47" min="53" max="16384"/>
  </cols>
  <sheetData>
    <row r="1" ht="15.75" customHeight="1" thickBot="1">
      <c r="D1" s="156" t="n"/>
      <c r="E1" s="156" t="n"/>
      <c r="F1" s="156" t="n"/>
      <c r="G1" s="156" t="n"/>
      <c r="H1" s="156" t="n"/>
      <c r="I1" s="156" t="n"/>
      <c r="T1" s="156" t="n"/>
      <c r="U1" s="156" t="n"/>
      <c r="V1" s="30" t="n"/>
      <c r="W1" s="30" t="n"/>
      <c r="X1" s="156" t="n"/>
    </row>
    <row r="2" ht="15.75" customHeight="1" thickBot="1">
      <c r="B2" s="2" t="n"/>
      <c r="C2" s="2" t="n"/>
      <c r="D2" s="69" t="n"/>
      <c r="E2" s="311" t="inlineStr">
        <is>
          <t>WIZZ AIR HUNGARY (W6)</t>
        </is>
      </c>
      <c r="F2" s="312" t="n"/>
      <c r="G2" s="312" t="n"/>
      <c r="H2" s="312" t="n"/>
      <c r="I2" s="312" t="n"/>
      <c r="J2" s="312" t="n"/>
      <c r="K2" s="312" t="n"/>
      <c r="L2" s="312" t="n"/>
      <c r="M2" s="312" t="n"/>
      <c r="N2" s="312" t="n"/>
      <c r="O2" s="312" t="n"/>
      <c r="P2" s="312" t="n"/>
      <c r="Q2" s="312" t="n"/>
      <c r="R2" s="313" t="n"/>
      <c r="S2" s="69" t="n"/>
      <c r="T2" s="314" t="inlineStr">
        <is>
          <t>WIZZAIR MALTA (W4)</t>
        </is>
      </c>
      <c r="U2" s="312" t="n"/>
      <c r="V2" s="312" t="n"/>
      <c r="W2" s="312" t="n"/>
      <c r="X2" s="312" t="n"/>
      <c r="Y2" s="312" t="n"/>
      <c r="Z2" s="312" t="n"/>
      <c r="AA2" s="312" t="n"/>
      <c r="AB2" s="312" t="n"/>
      <c r="AC2" s="312" t="n"/>
      <c r="AD2" s="312" t="n"/>
      <c r="AE2" s="312" t="n"/>
      <c r="AF2" s="312" t="n"/>
      <c r="AG2" s="313" t="n"/>
      <c r="AH2" s="66" t="n"/>
      <c r="AI2" s="315" t="inlineStr">
        <is>
          <t>PEGASUS</t>
        </is>
      </c>
      <c r="AJ2" s="312" t="n"/>
      <c r="AK2" s="312" t="n"/>
      <c r="AL2" s="313" t="n"/>
      <c r="AM2" s="120" t="n"/>
      <c r="AN2" s="316" t="inlineStr">
        <is>
          <t>AJET</t>
        </is>
      </c>
      <c r="AO2" s="312" t="n"/>
      <c r="AP2" s="312" t="n"/>
      <c r="AQ2" s="313" t="n"/>
      <c r="AR2" s="120" t="n"/>
    </row>
    <row r="3" ht="9" customHeight="1" thickBot="1"/>
    <row r="4" ht="16.5" customHeight="1" thickBot="1">
      <c r="D4" s="83" t="n"/>
      <c r="E4" s="317" t="n"/>
      <c r="F4" s="312" t="n"/>
      <c r="G4" s="312" t="n"/>
      <c r="H4" s="313" t="n"/>
      <c r="I4" s="83" t="n"/>
      <c r="J4" s="317" t="n"/>
      <c r="K4" s="312" t="n"/>
      <c r="L4" s="312" t="n"/>
      <c r="M4" s="313" t="n"/>
      <c r="N4" s="67" t="n"/>
      <c r="O4" s="317" t="n"/>
      <c r="P4" s="312" t="n"/>
      <c r="Q4" s="312" t="n"/>
      <c r="R4" s="313" t="n"/>
      <c r="S4" s="77" t="n"/>
      <c r="T4" s="318" t="n"/>
      <c r="U4" s="312" t="n"/>
      <c r="V4" s="312" t="n"/>
      <c r="W4" s="313" t="n"/>
      <c r="X4" s="77" t="n"/>
      <c r="Y4" s="318" t="n"/>
      <c r="Z4" s="312" t="n"/>
      <c r="AA4" s="312" t="n"/>
      <c r="AB4" s="313" t="n"/>
      <c r="AC4" s="67" t="n"/>
      <c r="AD4" s="318" t="n"/>
      <c r="AE4" s="312" t="n"/>
      <c r="AF4" s="312" t="n"/>
      <c r="AG4" s="313" t="n"/>
      <c r="AH4" s="67" t="n"/>
      <c r="AI4" s="315" t="n"/>
      <c r="AJ4" s="312" t="n"/>
      <c r="AK4" s="312" t="n"/>
      <c r="AL4" s="313" t="n"/>
      <c r="AM4" s="71" t="n"/>
      <c r="AN4" s="319" t="n"/>
      <c r="AO4" s="312" t="n"/>
      <c r="AP4" s="312" t="n"/>
      <c r="AQ4" s="313" t="n"/>
      <c r="AR4" s="71" t="n"/>
    </row>
    <row r="5" ht="15.75" customHeight="1" thickBot="1">
      <c r="B5" s="5" t="inlineStr">
        <is>
          <t>Datum</t>
        </is>
      </c>
      <c r="C5" s="5" t="inlineStr">
        <is>
          <t>Dan</t>
        </is>
      </c>
      <c r="D5" s="5" t="n"/>
      <c r="E5" s="320" t="inlineStr">
        <is>
          <t>Ukrcano</t>
        </is>
      </c>
      <c r="F5" s="321" t="n"/>
      <c r="G5" s="320" t="inlineStr">
        <is>
          <t>Iskrcano</t>
        </is>
      </c>
      <c r="H5" s="321" t="n"/>
      <c r="I5" s="5" t="n"/>
      <c r="J5" s="320" t="inlineStr">
        <is>
          <t>Ukrcano</t>
        </is>
      </c>
      <c r="K5" s="321" t="n"/>
      <c r="L5" s="320" t="inlineStr">
        <is>
          <t>Iskrcano</t>
        </is>
      </c>
      <c r="M5" s="321" t="n"/>
      <c r="N5" s="68" t="n"/>
      <c r="O5" s="320" t="inlineStr">
        <is>
          <t>Ukrcano</t>
        </is>
      </c>
      <c r="P5" s="321" t="n"/>
      <c r="Q5" s="320" t="inlineStr">
        <is>
          <t>Iskrcano</t>
        </is>
      </c>
      <c r="R5" s="321" t="n"/>
      <c r="S5" s="5" t="n"/>
      <c r="T5" s="320" t="inlineStr">
        <is>
          <t>Ukrcano</t>
        </is>
      </c>
      <c r="U5" s="321" t="n"/>
      <c r="V5" s="218" t="inlineStr">
        <is>
          <t>Iskrcano</t>
        </is>
      </c>
      <c r="W5" s="321" t="n"/>
      <c r="X5" s="5" t="n"/>
      <c r="Y5" s="320" t="inlineStr">
        <is>
          <t>Ukrcano</t>
        </is>
      </c>
      <c r="Z5" s="321" t="n"/>
      <c r="AA5" s="320" t="inlineStr">
        <is>
          <t>Iskrcano</t>
        </is>
      </c>
      <c r="AB5" s="321" t="n"/>
      <c r="AC5" s="68" t="n"/>
      <c r="AD5" s="320" t="inlineStr">
        <is>
          <t>Ukrcano</t>
        </is>
      </c>
      <c r="AE5" s="321" t="n"/>
      <c r="AF5" s="320" t="inlineStr">
        <is>
          <t>Iskrcano</t>
        </is>
      </c>
      <c r="AG5" s="321" t="n"/>
      <c r="AH5" s="68" t="n"/>
      <c r="AI5" s="320" t="inlineStr">
        <is>
          <t>Ukrcano</t>
        </is>
      </c>
      <c r="AJ5" s="321" t="n"/>
      <c r="AK5" s="320" t="inlineStr">
        <is>
          <t>Iskrcano</t>
        </is>
      </c>
      <c r="AL5" s="321" t="n"/>
      <c r="AN5" s="320" t="inlineStr">
        <is>
          <t>Ukrcano</t>
        </is>
      </c>
      <c r="AO5" s="321" t="n"/>
      <c r="AP5" s="320" t="inlineStr">
        <is>
          <t>Iskrcano</t>
        </is>
      </c>
      <c r="AQ5" s="321" t="n"/>
    </row>
    <row r="6">
      <c r="B6" s="145" t="n">
        <v>46023</v>
      </c>
      <c r="C6" s="146" t="inlineStr">
        <is>
          <t>četvrtak</t>
        </is>
      </c>
      <c r="D6" s="83" t="n"/>
      <c r="E6" s="85" t="n"/>
      <c r="F6" s="49" t="n"/>
      <c r="G6" s="85" t="n"/>
      <c r="H6" s="49" t="n"/>
      <c r="I6" s="83" t="n"/>
      <c r="J6" s="85" t="n"/>
      <c r="K6" s="49" t="n"/>
      <c r="L6" s="13" t="n"/>
      <c r="M6" s="53" t="n"/>
      <c r="N6" s="83" t="n"/>
      <c r="O6" s="13" t="n"/>
      <c r="P6" s="53" t="n"/>
      <c r="Q6" s="13" t="n"/>
      <c r="R6" s="53" t="n"/>
      <c r="S6" s="83" t="n"/>
      <c r="T6" s="13" t="n"/>
      <c r="U6" s="53" t="n"/>
      <c r="V6" s="245" t="n"/>
      <c r="W6" s="53" t="n"/>
      <c r="X6" s="83" t="n"/>
      <c r="Y6" s="13" t="n"/>
      <c r="Z6" s="53" t="n"/>
      <c r="AA6" s="13" t="n"/>
      <c r="AB6" s="53" t="n"/>
      <c r="AC6" s="83" t="n"/>
      <c r="AD6" s="85" t="n"/>
      <c r="AE6" s="49" t="n"/>
      <c r="AF6" s="85" t="n"/>
      <c r="AG6" s="49" t="n"/>
      <c r="AH6" s="83" t="n"/>
      <c r="AI6" s="13" t="n"/>
      <c r="AJ6" s="53" t="n"/>
      <c r="AK6" s="13" t="n"/>
      <c r="AL6" s="53" t="n"/>
      <c r="AM6" s="156" t="n"/>
      <c r="AN6" s="13" t="n"/>
      <c r="AO6" s="53" t="n"/>
      <c r="AP6" s="13" t="n"/>
      <c r="AQ6" s="53" t="n"/>
    </row>
    <row r="7">
      <c r="B7" s="145" t="n">
        <v>46024</v>
      </c>
      <c r="C7" s="146" t="inlineStr">
        <is>
          <t>petak</t>
        </is>
      </c>
      <c r="D7" s="83" t="n"/>
      <c r="E7" s="13" t="n"/>
      <c r="F7" s="53" t="n"/>
      <c r="G7" s="13" t="n"/>
      <c r="H7" s="53" t="n"/>
      <c r="I7" s="83" t="n"/>
      <c r="J7" s="13" t="n"/>
      <c r="K7" s="53" t="n"/>
      <c r="L7" s="13" t="n"/>
      <c r="M7" s="53" t="n"/>
      <c r="N7" s="83" t="n"/>
      <c r="O7" s="13" t="n"/>
      <c r="P7" s="53" t="n"/>
      <c r="Q7" s="13" t="n"/>
      <c r="R7" s="53" t="n"/>
      <c r="S7" s="83" t="n"/>
      <c r="T7" s="13" t="n"/>
      <c r="U7" s="53" t="n"/>
      <c r="V7" s="245" t="n"/>
      <c r="W7" s="53" t="n"/>
      <c r="X7" s="83" t="n"/>
      <c r="Y7" s="13" t="n"/>
      <c r="Z7" s="53" t="n"/>
      <c r="AA7" s="13" t="n"/>
      <c r="AB7" s="53" t="n"/>
      <c r="AC7" s="83" t="n"/>
      <c r="AD7" s="13" t="n"/>
      <c r="AE7" s="53" t="n"/>
      <c r="AF7" s="13" t="n"/>
      <c r="AG7" s="53" t="n"/>
      <c r="AH7" s="83" t="n"/>
      <c r="AI7" s="13" t="n"/>
      <c r="AJ7" s="53" t="n"/>
      <c r="AK7" s="13" t="n"/>
      <c r="AL7" s="53" t="n"/>
      <c r="AM7" s="156" t="n"/>
      <c r="AN7" s="13" t="n"/>
      <c r="AO7" s="53" t="n"/>
      <c r="AP7" s="13" t="n"/>
      <c r="AQ7" s="53" t="n"/>
      <c r="AX7" s="47" t="inlineStr">
        <is>
          <t>BR.LETOVA</t>
        </is>
      </c>
      <c r="AY7" s="47" t="inlineStr">
        <is>
          <t>UKRCANO</t>
        </is>
      </c>
      <c r="AZ7" s="47" t="inlineStr">
        <is>
          <t>ISKRCANO</t>
        </is>
      </c>
      <c r="BA7" s="47" t="inlineStr">
        <is>
          <t>UKUPNO</t>
        </is>
      </c>
    </row>
    <row r="8">
      <c r="B8" s="145" t="n">
        <v>46025</v>
      </c>
      <c r="C8" s="146" t="inlineStr">
        <is>
          <t>subota</t>
        </is>
      </c>
      <c r="D8" s="83" t="n"/>
      <c r="E8" s="13" t="n"/>
      <c r="F8" s="53" t="n"/>
      <c r="G8" s="13" t="n"/>
      <c r="H8" s="53" t="n"/>
      <c r="I8" s="83" t="n"/>
      <c r="J8" s="61" t="n"/>
      <c r="K8" s="161" t="n"/>
      <c r="L8" s="13" t="n"/>
      <c r="M8" s="53" t="n"/>
      <c r="N8" s="83" t="n"/>
      <c r="O8" s="13" t="n"/>
      <c r="P8" s="53" t="n"/>
      <c r="Q8" s="13" t="n"/>
      <c r="R8" s="53" t="n"/>
      <c r="S8" s="83" t="n"/>
      <c r="T8" s="13" t="n"/>
      <c r="U8" s="53" t="n"/>
      <c r="V8" s="303" t="n"/>
      <c r="W8" s="161" t="n"/>
      <c r="X8" s="83" t="n"/>
      <c r="Y8" s="13" t="n"/>
      <c r="Z8" s="53" t="n"/>
      <c r="AA8" s="13" t="n"/>
      <c r="AB8" s="53" t="n"/>
      <c r="AC8" s="83" t="n"/>
      <c r="AD8" s="13" t="n"/>
      <c r="AE8" s="53" t="n"/>
      <c r="AF8" s="13" t="n"/>
      <c r="AG8" s="53" t="n"/>
      <c r="AH8" s="83" t="n"/>
      <c r="AI8" s="13" t="n"/>
      <c r="AJ8" s="53" t="n"/>
      <c r="AK8" s="13" t="n"/>
      <c r="AL8" s="53" t="n"/>
      <c r="AM8" s="156" t="n"/>
      <c r="AN8" s="13" t="n"/>
      <c r="AO8" s="53" t="n"/>
      <c r="AP8" s="13" t="n"/>
      <c r="AQ8" s="53" t="n"/>
      <c r="AU8" s="47" t="inlineStr">
        <is>
          <t>WIZZ AIR HUNGARY LTD</t>
        </is>
      </c>
      <c r="AX8" s="180">
        <f>COUNTA(E6:E36,J6:J36,O6:O36)</f>
        <v/>
      </c>
      <c r="AY8" s="180">
        <f>SUM(J37+K37+O37+P37+E37+F37)</f>
        <v/>
      </c>
      <c r="AZ8" s="180">
        <f>SUM(L37+M37+Q37+R37)</f>
        <v/>
      </c>
      <c r="BA8" s="180">
        <f>SUM(AY8:AZ8)</f>
        <v/>
      </c>
    </row>
    <row r="9" ht="15.75" customHeight="1">
      <c r="B9" s="145" t="n">
        <v>46026</v>
      </c>
      <c r="C9" s="146" t="inlineStr">
        <is>
          <t>nedjelja</t>
        </is>
      </c>
      <c r="D9" s="83" t="n"/>
      <c r="E9" s="13" t="n"/>
      <c r="F9" s="53" t="n"/>
      <c r="G9" s="13" t="n"/>
      <c r="H9" s="53" t="n"/>
      <c r="I9" s="83" t="n"/>
      <c r="J9" s="61" t="n"/>
      <c r="K9" s="161" t="n"/>
      <c r="L9" s="61" t="n"/>
      <c r="M9" s="161" t="n"/>
      <c r="N9" s="83" t="n"/>
      <c r="O9" s="13" t="n"/>
      <c r="P9" s="53" t="n"/>
      <c r="Q9" s="13" t="n"/>
      <c r="R9" s="53" t="n"/>
      <c r="S9" s="83" t="n"/>
      <c r="T9" s="13" t="n"/>
      <c r="U9" s="53" t="n"/>
      <c r="V9" s="245" t="n"/>
      <c r="W9" s="53" t="n"/>
      <c r="X9" s="83" t="n"/>
      <c r="Y9" s="13" t="n"/>
      <c r="Z9" s="53" t="n"/>
      <c r="AA9" s="13" t="n"/>
      <c r="AB9" s="53" t="n"/>
      <c r="AC9" s="83" t="n"/>
      <c r="AD9" s="13" t="n"/>
      <c r="AE9" s="53" t="n"/>
      <c r="AF9" s="13" t="n"/>
      <c r="AG9" s="53" t="n"/>
      <c r="AH9" s="83" t="n"/>
      <c r="AI9" s="13" t="n"/>
      <c r="AJ9" s="53" t="n"/>
      <c r="AK9" s="13" t="n"/>
      <c r="AL9" s="53" t="n"/>
      <c r="AM9" s="156" t="n"/>
      <c r="AN9" s="13" t="n"/>
      <c r="AO9" s="53" t="n"/>
      <c r="AP9" s="13" t="n"/>
      <c r="AQ9" s="53" t="n"/>
      <c r="AU9" s="47" t="inlineStr">
        <is>
          <t>WIZZAIR MALTA</t>
        </is>
      </c>
      <c r="AX9" s="180">
        <f>COUNTA(Y6:Y36,AD6:AD36,T6:T36)</f>
        <v/>
      </c>
      <c r="AY9" s="180">
        <f>Y37+AD37+T37+U37+Z37+AE37</f>
        <v/>
      </c>
      <c r="AZ9" s="180">
        <f>AA37+AF37+V37+AB37+W37+AG37</f>
        <v/>
      </c>
      <c r="BA9" s="180">
        <f>SUM(AY9:AZ9)</f>
        <v/>
      </c>
    </row>
    <row r="10">
      <c r="B10" s="145" t="n">
        <v>46027</v>
      </c>
      <c r="C10" s="146" t="inlineStr">
        <is>
          <t>ponedjeljak</t>
        </is>
      </c>
      <c r="D10" s="83" t="n"/>
      <c r="E10" s="13" t="n"/>
      <c r="F10" s="53" t="n"/>
      <c r="G10" s="13" t="n"/>
      <c r="H10" s="53" t="n"/>
      <c r="I10" s="83" t="n"/>
      <c r="J10" s="61" t="n"/>
      <c r="K10" s="161" t="n"/>
      <c r="L10" s="61" t="n"/>
      <c r="M10" s="161" t="n"/>
      <c r="N10" s="83" t="n"/>
      <c r="O10" s="13" t="n"/>
      <c r="P10" s="53" t="n"/>
      <c r="Q10" s="13" t="n"/>
      <c r="R10" s="53" t="n"/>
      <c r="S10" s="83" t="n"/>
      <c r="T10" s="13" t="n"/>
      <c r="U10" s="53" t="n"/>
      <c r="V10" s="245" t="n"/>
      <c r="W10" s="53" t="n"/>
      <c r="X10" s="83" t="n"/>
      <c r="Y10" s="13" t="n"/>
      <c r="Z10" s="53" t="n"/>
      <c r="AA10" s="13" t="n"/>
      <c r="AB10" s="53" t="n"/>
      <c r="AC10" s="83" t="n"/>
      <c r="AD10" s="13" t="n"/>
      <c r="AE10" s="53" t="n"/>
      <c r="AF10" s="13" t="n"/>
      <c r="AG10" s="53" t="n"/>
      <c r="AH10" s="83" t="n"/>
      <c r="AI10" s="13" t="n"/>
      <c r="AJ10" s="53" t="n"/>
      <c r="AK10" s="13" t="n"/>
      <c r="AL10" s="53" t="n"/>
      <c r="AM10" s="156" t="n"/>
      <c r="AN10" s="13" t="n"/>
      <c r="AO10" s="53" t="n"/>
      <c r="AP10" s="13" t="n"/>
      <c r="AQ10" s="53" t="n"/>
      <c r="AU10" s="47" t="inlineStr">
        <is>
          <t>PEGASUS</t>
        </is>
      </c>
      <c r="AX10" s="180">
        <f>COUNTA(AI6:AI35)</f>
        <v/>
      </c>
      <c r="AY10" s="180">
        <f>AI37+AJ37</f>
        <v/>
      </c>
      <c r="AZ10" s="180">
        <f>AK37+AL37</f>
        <v/>
      </c>
      <c r="BA10" s="180">
        <f>SUM(AY10:AZ10)</f>
        <v/>
      </c>
    </row>
    <row r="11">
      <c r="B11" s="145" t="n">
        <v>46028</v>
      </c>
      <c r="C11" s="146" t="inlineStr">
        <is>
          <t>utorak</t>
        </is>
      </c>
      <c r="D11" s="83" t="n"/>
      <c r="E11" s="31" t="n"/>
      <c r="F11" s="32" t="n"/>
      <c r="G11" s="13" t="n"/>
      <c r="H11" s="53" t="n"/>
      <c r="I11" s="83" t="n"/>
      <c r="J11" s="169" t="n"/>
      <c r="K11" s="170" t="n"/>
      <c r="L11" s="61" t="n"/>
      <c r="M11" s="161" t="n"/>
      <c r="N11" s="83" t="n"/>
      <c r="O11" s="13" t="n"/>
      <c r="P11" s="53" t="n"/>
      <c r="Q11" s="245" t="n"/>
      <c r="R11" s="53" t="n"/>
      <c r="S11" s="83" t="n"/>
      <c r="T11" s="13" t="n"/>
      <c r="U11" s="53" t="n"/>
      <c r="V11" s="245" t="n"/>
      <c r="W11" s="53" t="n"/>
      <c r="X11" s="83" t="n"/>
      <c r="Y11" s="13" t="n"/>
      <c r="Z11" s="53" t="n"/>
      <c r="AA11" s="13" t="n"/>
      <c r="AB11" s="53" t="n"/>
      <c r="AC11" s="83" t="n"/>
      <c r="AD11" s="13" t="n"/>
      <c r="AE11" s="53" t="n"/>
      <c r="AF11" s="13" t="n"/>
      <c r="AG11" s="53" t="n"/>
      <c r="AH11" s="83" t="n"/>
      <c r="AI11" s="31" t="n"/>
      <c r="AJ11" s="32" t="n"/>
      <c r="AK11" s="13" t="n"/>
      <c r="AL11" s="53" t="n"/>
      <c r="AM11" s="156" t="n"/>
      <c r="AN11" s="31" t="n"/>
      <c r="AO11" s="32" t="n"/>
      <c r="AP11" s="13" t="n"/>
      <c r="AQ11" s="53" t="n"/>
      <c r="AU11" s="47" t="inlineStr">
        <is>
          <t>AJET</t>
        </is>
      </c>
      <c r="AX11" s="180">
        <f>COUNTA(AN6:AN35)</f>
        <v/>
      </c>
      <c r="AY11" s="180">
        <f>AN37+AO37</f>
        <v/>
      </c>
      <c r="AZ11" s="180">
        <f>AP37+AQ37</f>
        <v/>
      </c>
      <c r="BA11" s="180">
        <f>SUM(AY11:AZ11)</f>
        <v/>
      </c>
    </row>
    <row r="12" ht="15.75" customHeight="1">
      <c r="B12" s="145" t="n">
        <v>46029</v>
      </c>
      <c r="C12" s="146" t="inlineStr">
        <is>
          <t>srijeda</t>
        </is>
      </c>
      <c r="D12" s="83" t="n"/>
      <c r="E12" s="13" t="n"/>
      <c r="F12" s="53" t="n"/>
      <c r="G12" s="13" t="n"/>
      <c r="H12" s="53" t="n"/>
      <c r="I12" s="83" t="n"/>
      <c r="J12" s="61" t="n"/>
      <c r="K12" s="161" t="n"/>
      <c r="L12" s="61" t="n"/>
      <c r="M12" s="161" t="n"/>
      <c r="N12" s="83" t="n"/>
      <c r="O12" s="13" t="n"/>
      <c r="P12" s="53" t="n"/>
      <c r="Q12" s="13" t="n"/>
      <c r="R12" s="53" t="n"/>
      <c r="S12" s="83" t="n"/>
      <c r="T12" s="61" t="n"/>
      <c r="U12" s="161" t="n"/>
      <c r="V12" s="245" t="n"/>
      <c r="W12" s="53" t="n"/>
      <c r="X12" s="83" t="n"/>
      <c r="Y12" s="13" t="n"/>
      <c r="Z12" s="53" t="n"/>
      <c r="AA12" s="13" t="n"/>
      <c r="AB12" s="53" t="n"/>
      <c r="AC12" s="83" t="n"/>
      <c r="AD12" s="13" t="n"/>
      <c r="AE12" s="53" t="n"/>
      <c r="AF12" s="13" t="n"/>
      <c r="AG12" s="53" t="n"/>
      <c r="AH12" s="83" t="n"/>
      <c r="AI12" s="13" t="n"/>
      <c r="AJ12" s="53" t="n"/>
      <c r="AL12" s="53" t="n"/>
      <c r="AM12" s="156" t="n"/>
      <c r="AN12" s="13" t="n"/>
      <c r="AO12" s="53" t="n"/>
      <c r="AP12" s="13" t="n"/>
      <c r="AQ12" s="53" t="n"/>
      <c r="AU12" s="181" t="inlineStr">
        <is>
          <t>UKUPNO</t>
        </is>
      </c>
      <c r="AX12" s="182">
        <f>SUM(AX8:AX11)</f>
        <v/>
      </c>
      <c r="AY12" s="182">
        <f>SUM(AY8:AY11)</f>
        <v/>
      </c>
      <c r="AZ12" s="182">
        <f>SUM(AZ8:AZ11)</f>
        <v/>
      </c>
      <c r="BA12" s="182">
        <f>SUM(BA8:BA11)</f>
        <v/>
      </c>
    </row>
    <row r="13">
      <c r="B13" s="145" t="n">
        <v>46030</v>
      </c>
      <c r="C13" s="146" t="inlineStr">
        <is>
          <t>četvrtak</t>
        </is>
      </c>
      <c r="D13" s="83" t="n"/>
      <c r="E13" s="13" t="n"/>
      <c r="F13" s="53" t="n"/>
      <c r="G13" s="13" t="n"/>
      <c r="H13" s="53" t="n"/>
      <c r="I13" s="83" t="n"/>
      <c r="J13" s="61" t="n"/>
      <c r="K13" s="183" t="n"/>
      <c r="L13" s="61" t="n"/>
      <c r="M13" s="161" t="n"/>
      <c r="N13" s="83" t="n"/>
      <c r="O13" s="61" t="n"/>
      <c r="P13" s="161" t="n"/>
      <c r="Q13" s="303" t="n"/>
      <c r="R13" s="161" t="n"/>
      <c r="S13" s="83" t="n"/>
      <c r="T13" s="13" t="n"/>
      <c r="U13" s="53" t="n"/>
      <c r="V13" s="245" t="n"/>
      <c r="W13" s="53" t="n"/>
      <c r="X13" s="83" t="n"/>
      <c r="Y13" s="13" t="n"/>
      <c r="Z13" s="53" t="n"/>
      <c r="AA13" s="13" t="n"/>
      <c r="AB13" s="53" t="n"/>
      <c r="AC13" s="83" t="n"/>
      <c r="AD13" s="13" t="n"/>
      <c r="AE13" s="53" t="n"/>
      <c r="AF13" s="13" t="n"/>
      <c r="AG13" s="53" t="n"/>
      <c r="AH13" s="83" t="n"/>
      <c r="AI13" s="13" t="n"/>
      <c r="AJ13" s="53" t="n"/>
      <c r="AK13" s="13" t="n"/>
      <c r="AL13" s="53" t="n"/>
      <c r="AM13" s="156" t="n"/>
      <c r="AN13" s="13" t="n"/>
      <c r="AO13" s="53" t="n"/>
      <c r="AP13" s="13" t="n"/>
      <c r="AQ13" s="53" t="n"/>
    </row>
    <row r="14" ht="15" customHeight="1">
      <c r="B14" s="145" t="n">
        <v>46031</v>
      </c>
      <c r="C14" s="146" t="inlineStr">
        <is>
          <t>petak</t>
        </is>
      </c>
      <c r="D14" s="83" t="n"/>
      <c r="E14" s="13" t="n"/>
      <c r="F14" s="53" t="n"/>
      <c r="G14" s="13" t="n"/>
      <c r="H14" s="53" t="n"/>
      <c r="I14" s="83" t="n"/>
      <c r="J14" s="61" t="n"/>
      <c r="K14" s="161" t="n"/>
      <c r="L14" s="61" t="n"/>
      <c r="M14" s="161" t="n"/>
      <c r="N14" s="83" t="n"/>
      <c r="O14" s="13" t="n"/>
      <c r="P14" s="53" t="n"/>
      <c r="Q14" s="245" t="n"/>
      <c r="R14" s="53" t="n"/>
      <c r="S14" s="83" t="n"/>
      <c r="T14" s="13" t="n"/>
      <c r="U14" s="53" t="n"/>
      <c r="V14" s="245" t="n"/>
      <c r="W14" s="53" t="n"/>
      <c r="X14" s="83" t="n"/>
      <c r="Y14" s="13" t="n"/>
      <c r="Z14" s="53" t="n"/>
      <c r="AA14" s="13" t="n"/>
      <c r="AB14" s="53" t="n"/>
      <c r="AC14" s="83" t="n"/>
      <c r="AD14" s="13" t="n"/>
      <c r="AE14" s="53" t="n"/>
      <c r="AF14" s="13" t="n"/>
      <c r="AG14" s="53" t="n"/>
      <c r="AH14" s="83" t="n"/>
      <c r="AI14" s="13" t="n"/>
      <c r="AJ14" s="53" t="n"/>
      <c r="AK14" s="13" t="n"/>
      <c r="AL14" s="53" t="n"/>
      <c r="AM14" s="156" t="n"/>
      <c r="AN14" s="13" t="n"/>
      <c r="AO14" s="53" t="n"/>
      <c r="AP14" s="13" t="n"/>
      <c r="AQ14" s="53" t="n"/>
    </row>
    <row r="15">
      <c r="B15" s="145" t="n">
        <v>46032</v>
      </c>
      <c r="C15" s="146" t="inlineStr">
        <is>
          <t>subota</t>
        </is>
      </c>
      <c r="D15" s="83" t="n"/>
      <c r="E15" s="13" t="n"/>
      <c r="F15" s="53" t="n"/>
      <c r="G15" s="13" t="n"/>
      <c r="H15" s="53" t="n"/>
      <c r="I15" s="83" t="n"/>
      <c r="J15" s="61" t="n"/>
      <c r="K15" s="161" t="n"/>
      <c r="L15" s="61" t="n"/>
      <c r="M15" s="161" t="n"/>
      <c r="N15" s="83" t="n"/>
      <c r="O15" s="13" t="n"/>
      <c r="P15" s="53" t="n"/>
      <c r="Q15" s="13" t="n"/>
      <c r="R15" s="53" t="n"/>
      <c r="S15" s="83" t="n"/>
      <c r="T15" s="13" t="n"/>
      <c r="U15" s="53" t="n"/>
      <c r="V15" s="303" t="n"/>
      <c r="W15" s="161" t="n"/>
      <c r="X15" s="83" t="n"/>
      <c r="Y15" s="13" t="n"/>
      <c r="Z15" s="53" t="n"/>
      <c r="AA15" s="13" t="n"/>
      <c r="AB15" s="53" t="n"/>
      <c r="AC15" s="83" t="n"/>
      <c r="AD15" s="13" t="n"/>
      <c r="AE15" s="53" t="n"/>
      <c r="AF15" s="13" t="n"/>
      <c r="AG15" s="53" t="n"/>
      <c r="AH15" s="83" t="n"/>
      <c r="AI15" s="13" t="n"/>
      <c r="AJ15" s="53" t="n"/>
      <c r="AK15" s="13" t="n"/>
      <c r="AL15" s="53" t="n"/>
      <c r="AM15" s="156" t="n"/>
      <c r="AN15" s="13" t="n"/>
      <c r="AO15" s="53" t="n"/>
      <c r="AP15" s="13" t="n"/>
      <c r="AQ15" s="53" t="n"/>
    </row>
    <row r="16">
      <c r="B16" s="145" t="n">
        <v>46033</v>
      </c>
      <c r="C16" s="146" t="inlineStr">
        <is>
          <t>nedjelja</t>
        </is>
      </c>
      <c r="D16" s="83" t="n"/>
      <c r="E16" s="13" t="n"/>
      <c r="F16" s="53" t="n"/>
      <c r="G16" s="13" t="n"/>
      <c r="H16" s="53" t="n"/>
      <c r="I16" s="83" t="n"/>
      <c r="J16" s="61" t="n"/>
      <c r="K16" s="161" t="n"/>
      <c r="L16" s="61" t="n"/>
      <c r="M16" s="161" t="n"/>
      <c r="N16" s="83" t="n"/>
      <c r="O16" s="13" t="n"/>
      <c r="P16" s="53" t="n"/>
      <c r="Q16" s="13" t="n"/>
      <c r="R16" s="53" t="n"/>
      <c r="S16" s="83" t="n"/>
      <c r="T16" s="13" t="n"/>
      <c r="U16" s="53" t="n"/>
      <c r="V16" s="154" t="n"/>
      <c r="W16" s="32" t="n"/>
      <c r="X16" s="83" t="n"/>
      <c r="Y16" s="13" t="n"/>
      <c r="Z16" s="53" t="n"/>
      <c r="AA16" s="13" t="n"/>
      <c r="AB16" s="53" t="n"/>
      <c r="AC16" s="83" t="n"/>
      <c r="AD16" s="13" t="n"/>
      <c r="AE16" s="53" t="n"/>
      <c r="AF16" s="13" t="n"/>
      <c r="AG16" s="53" t="n"/>
      <c r="AH16" s="83" t="n"/>
      <c r="AI16" s="13" t="n"/>
      <c r="AJ16" s="53" t="n"/>
      <c r="AK16" s="13" t="n"/>
      <c r="AL16" s="53" t="n"/>
      <c r="AM16" s="156" t="n"/>
      <c r="AN16" s="13" t="n"/>
      <c r="AO16" s="53" t="n"/>
      <c r="AP16" s="13" t="n"/>
      <c r="AQ16" s="53" t="n"/>
    </row>
    <row r="17" ht="17.25" customHeight="1">
      <c r="B17" s="145" t="n">
        <v>46034</v>
      </c>
      <c r="C17" s="146" t="inlineStr">
        <is>
          <t>ponedjeljak</t>
        </is>
      </c>
      <c r="D17" s="83" t="n"/>
      <c r="E17" s="13" t="n"/>
      <c r="F17" s="53" t="n"/>
      <c r="G17" s="13" t="n"/>
      <c r="H17" s="53" t="n"/>
      <c r="I17" s="83" t="n"/>
      <c r="J17" s="61" t="n"/>
      <c r="K17" s="161" t="n"/>
      <c r="L17" s="61" t="n"/>
      <c r="M17" s="161" t="n"/>
      <c r="N17" s="83" t="n"/>
      <c r="O17" s="13" t="n"/>
      <c r="P17" s="53" t="n"/>
      <c r="Q17" s="13" t="n"/>
      <c r="R17" s="53" t="n"/>
      <c r="S17" s="83" t="n"/>
      <c r="T17" s="13" t="n"/>
      <c r="U17" s="53" t="n"/>
      <c r="V17" s="245" t="n"/>
      <c r="W17" s="53" t="n"/>
      <c r="X17" s="83" t="n"/>
      <c r="Y17" s="13" t="n"/>
      <c r="Z17" s="53" t="n"/>
      <c r="AA17" s="13" t="n"/>
      <c r="AB17" s="53" t="n"/>
      <c r="AC17" s="83" t="n"/>
      <c r="AD17" s="13" t="n"/>
      <c r="AE17" s="53" t="n"/>
      <c r="AF17" s="13" t="n"/>
      <c r="AG17" s="53" t="n"/>
      <c r="AH17" s="83" t="n"/>
      <c r="AI17" s="13" t="n"/>
      <c r="AJ17" s="53" t="n"/>
      <c r="AK17" s="13" t="n"/>
      <c r="AL17" s="53" t="n"/>
      <c r="AM17" s="156" t="n"/>
      <c r="AN17" s="13" t="n"/>
      <c r="AO17" s="53" t="n"/>
      <c r="AP17" s="13" t="n"/>
      <c r="AQ17" s="53" t="n"/>
    </row>
    <row r="18">
      <c r="B18" s="145" t="n">
        <v>46035</v>
      </c>
      <c r="C18" s="146" t="inlineStr">
        <is>
          <t>utorak</t>
        </is>
      </c>
      <c r="D18" s="83" t="n"/>
      <c r="E18" s="13" t="n"/>
      <c r="F18" s="53" t="n"/>
      <c r="G18" s="13" t="n"/>
      <c r="H18" s="53" t="n"/>
      <c r="I18" s="83" t="n"/>
      <c r="J18" s="61" t="n"/>
      <c r="K18" s="161" t="n"/>
      <c r="L18" s="61" t="n"/>
      <c r="M18" s="161" t="n"/>
      <c r="N18" s="83" t="n"/>
      <c r="O18" s="13" t="n"/>
      <c r="P18" s="53" t="n"/>
      <c r="Q18" s="13" t="n"/>
      <c r="R18" s="53" t="n"/>
      <c r="S18" s="83" t="n"/>
      <c r="T18" s="13" t="n"/>
      <c r="U18" s="53" t="n"/>
      <c r="V18" s="245" t="n"/>
      <c r="W18" s="53" t="n"/>
      <c r="X18" s="83" t="n"/>
      <c r="Y18" s="13" t="n"/>
      <c r="Z18" s="53" t="n"/>
      <c r="AA18" s="13" t="n"/>
      <c r="AB18" s="53" t="n"/>
      <c r="AC18" s="83" t="n"/>
      <c r="AD18" s="13" t="n"/>
      <c r="AE18" s="53" t="n"/>
      <c r="AF18" s="13" t="n"/>
      <c r="AG18" s="53" t="n"/>
      <c r="AH18" s="83" t="n"/>
      <c r="AI18" s="13" t="n"/>
      <c r="AJ18" s="53" t="n"/>
      <c r="AK18" s="13" t="n"/>
      <c r="AL18" s="53" t="n"/>
      <c r="AM18" s="156" t="n"/>
      <c r="AN18" s="31" t="n"/>
      <c r="AO18" s="53" t="n"/>
      <c r="AP18" s="13" t="n"/>
      <c r="AQ18" s="53" t="n"/>
    </row>
    <row r="19" ht="15.75" customHeight="1">
      <c r="B19" s="145" t="n">
        <v>46036</v>
      </c>
      <c r="C19" s="146" t="inlineStr">
        <is>
          <t>srijeda</t>
        </is>
      </c>
      <c r="D19" s="83" t="n"/>
      <c r="E19" s="13" t="n"/>
      <c r="F19" s="53" t="n"/>
      <c r="G19" s="13" t="n"/>
      <c r="H19" s="53" t="n"/>
      <c r="I19" s="83" t="n"/>
      <c r="J19" s="61" t="n"/>
      <c r="K19" s="161" t="n"/>
      <c r="L19" s="61" t="n"/>
      <c r="M19" s="161" t="n"/>
      <c r="N19" s="83" t="n"/>
      <c r="O19" s="13" t="n"/>
      <c r="P19" s="53" t="n"/>
      <c r="Q19" s="13" t="n"/>
      <c r="R19" s="53" t="n"/>
      <c r="S19" s="83" t="n"/>
      <c r="T19" s="61" t="n"/>
      <c r="U19" s="161" t="n"/>
      <c r="V19" s="245" t="n"/>
      <c r="W19" s="53" t="n"/>
      <c r="X19" s="83" t="n"/>
      <c r="Y19" s="13" t="n"/>
      <c r="Z19" s="53" t="n"/>
      <c r="AA19" s="13" t="n"/>
      <c r="AB19" s="53" t="n"/>
      <c r="AC19" s="83" t="n"/>
      <c r="AD19" s="13" t="n"/>
      <c r="AE19" s="53" t="n"/>
      <c r="AF19" s="13" t="n"/>
      <c r="AG19" s="53" t="n"/>
      <c r="AH19" s="83" t="n"/>
      <c r="AI19" s="13" t="n"/>
      <c r="AJ19" s="53" t="n"/>
      <c r="AK19" s="13" t="n"/>
      <c r="AL19" s="53" t="n"/>
      <c r="AM19" s="156" t="n"/>
      <c r="AN19" s="13" t="n"/>
      <c r="AO19" s="53" t="n"/>
      <c r="AP19" s="13" t="n"/>
      <c r="AQ19" s="53" t="n"/>
    </row>
    <row r="20">
      <c r="B20" s="145" t="n">
        <v>46037</v>
      </c>
      <c r="C20" s="146" t="inlineStr">
        <is>
          <t>četvrtak</t>
        </is>
      </c>
      <c r="D20" s="83" t="n"/>
      <c r="E20" s="13" t="n"/>
      <c r="F20" s="53" t="n"/>
      <c r="G20" s="13" t="n"/>
      <c r="H20" s="53" t="n"/>
      <c r="I20" s="83" t="n"/>
      <c r="J20" s="61" t="n"/>
      <c r="K20" s="161" t="n"/>
      <c r="L20" s="61" t="n"/>
      <c r="M20" s="161" t="n"/>
      <c r="N20" s="83" t="n"/>
      <c r="O20" s="13" t="n"/>
      <c r="P20" s="53" t="n"/>
      <c r="Q20" s="13" t="n"/>
      <c r="R20" s="53" t="n"/>
      <c r="S20" s="83" t="n"/>
      <c r="T20" s="13" t="n"/>
      <c r="U20" s="53" t="n"/>
      <c r="V20" s="245" t="n"/>
      <c r="W20" s="53" t="n"/>
      <c r="X20" s="83" t="n"/>
      <c r="Y20" s="13" t="n"/>
      <c r="Z20" s="53" t="n"/>
      <c r="AA20" s="13" t="n"/>
      <c r="AB20" s="53" t="n"/>
      <c r="AC20" s="83" t="n"/>
      <c r="AD20" s="13" t="n"/>
      <c r="AE20" s="53" t="n"/>
      <c r="AF20" s="13" t="n"/>
      <c r="AG20" s="53" t="n"/>
      <c r="AH20" s="83" t="n"/>
      <c r="AI20" s="13" t="n"/>
      <c r="AJ20" s="53" t="n"/>
      <c r="AK20" s="13" t="n"/>
      <c r="AL20" s="53" t="n"/>
      <c r="AM20" s="156" t="n"/>
      <c r="AN20" s="13" t="n"/>
      <c r="AO20" s="53" t="n"/>
      <c r="AP20" s="31" t="n"/>
      <c r="AQ20" s="32" t="n"/>
      <c r="AV20" s="47" t="n"/>
    </row>
    <row r="21" ht="15.75" customHeight="1">
      <c r="B21" s="145" t="n">
        <v>46038</v>
      </c>
      <c r="C21" s="146" t="inlineStr">
        <is>
          <t>petak</t>
        </is>
      </c>
      <c r="D21" s="83" t="n"/>
      <c r="E21" s="13" t="n"/>
      <c r="F21" s="53" t="n"/>
      <c r="G21" s="13" t="n"/>
      <c r="H21" s="53" t="n"/>
      <c r="I21" s="83" t="n"/>
      <c r="J21" s="61" t="n"/>
      <c r="K21" s="161" t="n"/>
      <c r="L21" s="61" t="n"/>
      <c r="M21" s="161" t="n"/>
      <c r="N21" s="83" t="n"/>
      <c r="O21" s="13" t="n"/>
      <c r="P21" s="53" t="n"/>
      <c r="Q21" s="13" t="n"/>
      <c r="R21" s="53" t="n"/>
      <c r="S21" s="83" t="n"/>
      <c r="T21" s="13" t="n"/>
      <c r="U21" s="53" t="n"/>
      <c r="V21" s="245" t="n"/>
      <c r="W21" s="53" t="n"/>
      <c r="X21" s="83" t="n"/>
      <c r="Y21" s="13" t="n"/>
      <c r="Z21" s="53" t="n"/>
      <c r="AA21" s="13" t="n"/>
      <c r="AB21" s="53" t="n"/>
      <c r="AC21" s="83" t="n"/>
      <c r="AD21" s="13" t="n"/>
      <c r="AE21" s="53" t="n"/>
      <c r="AF21" s="13" t="n"/>
      <c r="AG21" s="53" t="n"/>
      <c r="AH21" s="83" t="n"/>
      <c r="AI21" s="13" t="n"/>
      <c r="AJ21" s="53" t="n"/>
      <c r="AK21" s="13" t="n"/>
      <c r="AL21" s="53" t="n"/>
      <c r="AM21" s="156" t="n"/>
      <c r="AN21" s="13" t="n"/>
      <c r="AO21" s="53" t="n"/>
      <c r="AP21" s="13" t="n"/>
      <c r="AQ21" s="53" t="n"/>
      <c r="AR21" s="47" t="n"/>
      <c r="AS21" s="47" t="n"/>
      <c r="AT21" s="47" t="n"/>
      <c r="AV21" s="47" t="n"/>
    </row>
    <row r="22" customFormat="1" s="156">
      <c r="B22" s="145" t="n">
        <v>46039</v>
      </c>
      <c r="C22" s="146" t="inlineStr">
        <is>
          <t>subota</t>
        </is>
      </c>
      <c r="D22" s="83" t="n"/>
      <c r="E22" s="13" t="n"/>
      <c r="F22" s="53" t="n"/>
      <c r="G22" s="13" t="n"/>
      <c r="H22" s="53" t="n"/>
      <c r="I22" s="83" t="n"/>
      <c r="J22" s="61" t="n"/>
      <c r="K22" s="161" t="n"/>
      <c r="L22" s="61" t="n"/>
      <c r="M22" s="161" t="n"/>
      <c r="N22" s="83" t="n"/>
      <c r="O22" s="13" t="n"/>
      <c r="P22" s="53" t="n"/>
      <c r="Q22" s="13" t="n"/>
      <c r="R22" s="53" t="n"/>
      <c r="S22" s="83" t="n"/>
      <c r="T22" s="271" t="n"/>
      <c r="U22" s="53" t="n"/>
      <c r="V22" s="245" t="n"/>
      <c r="W22" s="53" t="n"/>
      <c r="X22" s="83" t="n"/>
      <c r="Y22" s="13" t="n"/>
      <c r="Z22" s="53" t="n"/>
      <c r="AA22" s="13" t="n"/>
      <c r="AB22" s="53" t="n"/>
      <c r="AC22" s="83" t="n"/>
      <c r="AD22" s="13" t="n"/>
      <c r="AE22" s="53" t="n"/>
      <c r="AF22" s="13" t="n"/>
      <c r="AG22" s="53" t="n"/>
      <c r="AH22" s="83" t="n"/>
      <c r="AI22" s="13" t="n"/>
      <c r="AJ22" s="53" t="n"/>
      <c r="AK22" s="13" t="n"/>
      <c r="AL22" s="53" t="n"/>
      <c r="AM22" s="156" t="n"/>
      <c r="AN22" s="13" t="n"/>
      <c r="AO22" s="53" t="n"/>
      <c r="AP22" s="13" t="n"/>
      <c r="AQ22" s="53" t="n"/>
      <c r="AR22" s="47" t="n"/>
      <c r="AS22" s="47" t="n"/>
      <c r="AT22" s="47" t="n"/>
      <c r="AU22" s="47" t="n"/>
      <c r="AV22" s="47" t="n"/>
      <c r="AW22" s="47" t="n"/>
      <c r="AX22" s="47" t="n"/>
      <c r="AY22" s="47" t="n"/>
      <c r="AZ22" s="47" t="n"/>
      <c r="BA22" s="47" t="n"/>
      <c r="BB22" s="47" t="n"/>
      <c r="BC22" s="47" t="n"/>
      <c r="BD22" s="47" t="n"/>
    </row>
    <row r="23">
      <c r="B23" s="145" t="n">
        <v>46040</v>
      </c>
      <c r="C23" s="146" t="inlineStr">
        <is>
          <t>nedjelja</t>
        </is>
      </c>
      <c r="D23" s="83" t="n"/>
      <c r="E23" s="13" t="n"/>
      <c r="F23" s="53" t="n"/>
      <c r="G23" s="13" t="n"/>
      <c r="H23" s="53" t="n"/>
      <c r="I23" s="83" t="n"/>
      <c r="J23" s="13" t="n"/>
      <c r="K23" s="53" t="n"/>
      <c r="L23" s="13" t="n"/>
      <c r="M23" s="53" t="n"/>
      <c r="N23" s="83" t="n"/>
      <c r="O23" s="13" t="n"/>
      <c r="P23" s="53" t="n"/>
      <c r="Q23" s="13" t="n"/>
      <c r="R23" s="53" t="n"/>
      <c r="S23" s="83" t="n"/>
      <c r="T23" s="13" t="n"/>
      <c r="U23" s="53" t="n"/>
      <c r="V23" s="245" t="n"/>
      <c r="W23" s="53" t="n"/>
      <c r="X23" s="83" t="n"/>
      <c r="Y23" s="13" t="n"/>
      <c r="Z23" s="53" t="n"/>
      <c r="AA23" s="13" t="n"/>
      <c r="AB23" s="53" t="n"/>
      <c r="AC23" s="83" t="n"/>
      <c r="AD23" s="13" t="n"/>
      <c r="AE23" s="53" t="n"/>
      <c r="AF23" s="13" t="n"/>
      <c r="AG23" s="53" t="n"/>
      <c r="AH23" s="83" t="n"/>
      <c r="AI23" s="13" t="n"/>
      <c r="AJ23" s="53" t="n"/>
      <c r="AK23" s="13" t="n"/>
      <c r="AL23" s="53" t="n"/>
      <c r="AM23" s="156" t="n"/>
      <c r="AN23" s="13" t="n"/>
      <c r="AO23" s="53" t="n"/>
      <c r="AP23" s="13" t="n"/>
      <c r="AQ23" s="53" t="n"/>
      <c r="AR23" s="47" t="n"/>
      <c r="AS23" s="47" t="n"/>
      <c r="AT23" s="47" t="n"/>
    </row>
    <row r="24">
      <c r="B24" s="145" t="n">
        <v>46041</v>
      </c>
      <c r="C24" s="146" t="inlineStr">
        <is>
          <t>ponedjeljak</t>
        </is>
      </c>
      <c r="D24" s="83" t="n"/>
      <c r="E24" s="13" t="n"/>
      <c r="F24" s="53" t="n"/>
      <c r="G24" s="13" t="n"/>
      <c r="H24" s="53" t="n"/>
      <c r="I24" s="83" t="n"/>
      <c r="J24" s="61" t="n"/>
      <c r="K24" s="161" t="n"/>
      <c r="L24" s="61" t="n"/>
      <c r="M24" s="161" t="n"/>
      <c r="N24" s="83" t="n"/>
      <c r="O24" s="13" t="n"/>
      <c r="P24" s="53" t="n"/>
      <c r="Q24" s="13" t="n"/>
      <c r="R24" s="53" t="n"/>
      <c r="S24" s="83" t="n"/>
      <c r="T24" s="86" t="n"/>
      <c r="U24" s="87" t="n"/>
      <c r="V24" s="166" t="n"/>
      <c r="W24" s="167" t="n"/>
      <c r="X24" s="83" t="n"/>
      <c r="Y24" s="13" t="n"/>
      <c r="Z24" s="53" t="n"/>
      <c r="AA24" s="13" t="n"/>
      <c r="AB24" s="53" t="n"/>
      <c r="AC24" s="83" t="n"/>
      <c r="AD24" s="13" t="n"/>
      <c r="AE24" s="53" t="n"/>
      <c r="AF24" s="13" t="n"/>
      <c r="AG24" s="53" t="n"/>
      <c r="AH24" s="83" t="n"/>
      <c r="AI24" s="13" t="n"/>
      <c r="AJ24" s="53" t="n"/>
      <c r="AK24" s="13" t="n"/>
      <c r="AL24" s="53" t="n"/>
      <c r="AM24" s="156" t="n"/>
      <c r="AN24" s="13" t="n"/>
      <c r="AO24" s="53" t="n"/>
      <c r="AP24" s="13" t="n"/>
      <c r="AQ24" s="53" t="n"/>
      <c r="AR24" s="47" t="n"/>
      <c r="AS24" s="47" t="n"/>
      <c r="AT24" s="47" t="n"/>
      <c r="AU24" s="47" t="n"/>
    </row>
    <row r="25">
      <c r="B25" s="145" t="n">
        <v>46042</v>
      </c>
      <c r="C25" s="146" t="inlineStr">
        <is>
          <t>utorak</t>
        </is>
      </c>
      <c r="D25" s="83" t="n"/>
      <c r="E25" s="13" t="n"/>
      <c r="F25" s="53" t="n"/>
      <c r="G25" s="13" t="n"/>
      <c r="H25" s="53" t="n"/>
      <c r="I25" s="83" t="n"/>
      <c r="J25" s="61" t="n"/>
      <c r="K25" s="161" t="n"/>
      <c r="L25" s="61" t="n"/>
      <c r="M25" s="161" t="n"/>
      <c r="N25" s="83" t="n"/>
      <c r="O25" s="13" t="n"/>
      <c r="P25" s="53" t="n"/>
      <c r="Q25" s="13" t="n"/>
      <c r="R25" s="53" t="n"/>
      <c r="S25" s="83" t="n"/>
      <c r="T25" s="13" t="n"/>
      <c r="U25" s="53" t="n"/>
      <c r="V25" s="245" t="n"/>
      <c r="W25" s="53" t="n"/>
      <c r="X25" s="83" t="n"/>
      <c r="Y25" s="13" t="n"/>
      <c r="Z25" s="53" t="n"/>
      <c r="AA25" s="13" t="n"/>
      <c r="AB25" s="53" t="n"/>
      <c r="AC25" s="83" t="n"/>
      <c r="AD25" s="13" t="n"/>
      <c r="AE25" s="53" t="n"/>
      <c r="AF25" s="13" t="n"/>
      <c r="AG25" s="53" t="n"/>
      <c r="AH25" s="83" t="n"/>
      <c r="AI25" s="13" t="n"/>
      <c r="AJ25" s="53" t="n"/>
      <c r="AK25" s="13" t="n"/>
      <c r="AL25" s="53" t="n"/>
      <c r="AM25" s="156" t="n"/>
      <c r="AN25" s="13" t="n"/>
      <c r="AO25" s="53" t="n"/>
      <c r="AP25" s="13" t="n"/>
      <c r="AQ25" s="53" t="n"/>
      <c r="AR25" s="47" t="n"/>
      <c r="AS25" s="47" t="n"/>
      <c r="AT25" s="47" t="n"/>
      <c r="AU25" s="47" t="n"/>
    </row>
    <row r="26" ht="14.25" customFormat="1" customHeight="1" s="156">
      <c r="B26" s="145" t="n">
        <v>46043</v>
      </c>
      <c r="C26" s="146" t="inlineStr">
        <is>
          <t>srijeda</t>
        </is>
      </c>
      <c r="D26" s="83" t="n"/>
      <c r="E26" s="13" t="n"/>
      <c r="F26" s="53" t="n"/>
      <c r="G26" s="13" t="n"/>
      <c r="H26" s="53" t="n"/>
      <c r="I26" s="83" t="n"/>
      <c r="J26" s="61" t="n"/>
      <c r="K26" s="161" t="n"/>
      <c r="L26" s="61" t="n"/>
      <c r="M26" s="161" t="n"/>
      <c r="N26" s="83" t="n"/>
      <c r="O26" s="13" t="n"/>
      <c r="P26" s="53" t="n"/>
      <c r="Q26" s="13" t="n"/>
      <c r="R26" s="53" t="n"/>
      <c r="S26" s="83" t="n"/>
      <c r="T26" s="13" t="n"/>
      <c r="U26" s="53" t="n"/>
      <c r="V26" s="245" t="n"/>
      <c r="W26" s="53" t="n"/>
      <c r="X26" s="83" t="n"/>
      <c r="Y26" s="13" t="n"/>
      <c r="Z26" s="53" t="n"/>
      <c r="AA26" s="13" t="n"/>
      <c r="AB26" s="53" t="n"/>
      <c r="AC26" s="83" t="n"/>
      <c r="AD26" s="13" t="n"/>
      <c r="AE26" s="53" t="n"/>
      <c r="AF26" s="13" t="n"/>
      <c r="AG26" s="53" t="n"/>
      <c r="AH26" s="83" t="n"/>
      <c r="AI26" s="13" t="n"/>
      <c r="AJ26" s="53" t="n"/>
      <c r="AK26" s="13" t="n"/>
      <c r="AL26" s="53" t="n"/>
      <c r="AM26" s="156" t="n"/>
      <c r="AN26" s="13" t="n"/>
      <c r="AO26" s="53" t="n"/>
      <c r="AP26" s="13" t="n"/>
      <c r="AQ26" s="53" t="n"/>
      <c r="AR26" s="47" t="n"/>
      <c r="AS26" s="47" t="n"/>
      <c r="AT26" s="47" t="n"/>
      <c r="AU26" s="47" t="n"/>
      <c r="AV26" s="47" t="n"/>
      <c r="AW26" s="47" t="n"/>
      <c r="AX26" s="47" t="n"/>
      <c r="AY26" s="47" t="n"/>
      <c r="AZ26" s="47" t="n"/>
      <c r="BA26" s="47" t="n"/>
      <c r="BB26" s="47" t="n"/>
      <c r="BC26" s="47" t="n"/>
    </row>
    <row r="27" ht="15.75" customHeight="1">
      <c r="B27" s="145" t="n">
        <v>46044</v>
      </c>
      <c r="C27" s="146" t="inlineStr">
        <is>
          <t>četvrtak</t>
        </is>
      </c>
      <c r="D27" s="83" t="n"/>
      <c r="E27" s="13" t="n"/>
      <c r="F27" s="53" t="n"/>
      <c r="G27" s="13" t="n"/>
      <c r="H27" s="53" t="n"/>
      <c r="I27" s="83" t="n"/>
      <c r="J27" s="61" t="n"/>
      <c r="K27" s="161" t="n"/>
      <c r="L27" s="61" t="n"/>
      <c r="M27" s="161" t="n"/>
      <c r="N27" s="83" t="n"/>
      <c r="O27" s="13" t="n"/>
      <c r="P27" s="53" t="n"/>
      <c r="Q27" s="245" t="n"/>
      <c r="R27" s="53" t="n"/>
      <c r="S27" s="83" t="n"/>
      <c r="T27" s="13" t="n"/>
      <c r="U27" s="53" t="n"/>
      <c r="V27" s="245" t="n"/>
      <c r="W27" s="53" t="n"/>
      <c r="X27" s="83" t="n"/>
      <c r="Y27" s="13" t="n"/>
      <c r="Z27" s="53" t="n"/>
      <c r="AA27" s="13" t="n"/>
      <c r="AB27" s="53" t="n"/>
      <c r="AC27" s="83" t="n"/>
      <c r="AD27" s="13" t="n"/>
      <c r="AE27" s="53" t="n"/>
      <c r="AF27" s="13" t="n"/>
      <c r="AG27" s="53" t="n"/>
      <c r="AH27" s="83" t="n"/>
      <c r="AI27" s="13" t="n"/>
      <c r="AJ27" s="53" t="n"/>
      <c r="AK27" s="13" t="n"/>
      <c r="AL27" s="53" t="n"/>
      <c r="AM27" s="156" t="n"/>
      <c r="AN27" s="13" t="n"/>
      <c r="AO27" s="53" t="n"/>
      <c r="AP27" s="13" t="n"/>
      <c r="AQ27" s="53" t="n"/>
      <c r="AR27" s="47" t="n"/>
      <c r="AS27" s="47" t="n"/>
      <c r="AT27" s="47" t="n"/>
      <c r="AU27" s="47" t="n"/>
      <c r="AV27" s="47" t="n"/>
    </row>
    <row r="28">
      <c r="B28" s="145" t="n">
        <v>46045</v>
      </c>
      <c r="C28" s="146" t="inlineStr">
        <is>
          <t>petak</t>
        </is>
      </c>
      <c r="D28" s="83" t="n"/>
      <c r="E28" s="13" t="n"/>
      <c r="F28" s="53" t="n"/>
      <c r="G28" s="13" t="n"/>
      <c r="H28" s="53" t="n"/>
      <c r="I28" s="83" t="n"/>
      <c r="J28" s="61" t="n"/>
      <c r="K28" s="161" t="n"/>
      <c r="L28" s="61" t="n"/>
      <c r="M28" s="161" t="n"/>
      <c r="N28" s="83" t="n"/>
      <c r="O28" s="13" t="n"/>
      <c r="P28" s="53" t="n"/>
      <c r="Q28" s="13" t="n"/>
      <c r="R28" s="53" t="n"/>
      <c r="S28" s="83" t="n"/>
      <c r="T28" s="13" t="n"/>
      <c r="U28" s="53" t="n"/>
      <c r="V28" s="245" t="n"/>
      <c r="W28" s="53" t="n"/>
      <c r="X28" s="83" t="n"/>
      <c r="Y28" s="13" t="n"/>
      <c r="Z28" s="53" t="n"/>
      <c r="AA28" s="245" t="n"/>
      <c r="AB28" s="53" t="n"/>
      <c r="AC28" s="83" t="n"/>
      <c r="AD28" s="13" t="n"/>
      <c r="AE28" s="53" t="n"/>
      <c r="AF28" s="245" t="n"/>
      <c r="AG28" s="53" t="n"/>
      <c r="AH28" s="83" t="n"/>
      <c r="AI28" s="13" t="n"/>
      <c r="AJ28" s="53" t="n"/>
      <c r="AK28" s="13" t="n"/>
      <c r="AL28" s="53" t="n"/>
      <c r="AM28" s="156" t="n"/>
      <c r="AN28" s="13" t="n"/>
      <c r="AO28" s="53" t="n"/>
      <c r="AP28" s="13" t="n"/>
      <c r="AQ28" s="53" t="n"/>
      <c r="AR28" s="47" t="n"/>
      <c r="AS28" s="47" t="n"/>
      <c r="AT28" s="47" t="n"/>
      <c r="AU28" s="47" t="n"/>
    </row>
    <row r="29">
      <c r="B29" s="145" t="n">
        <v>46046</v>
      </c>
      <c r="C29" s="146" t="inlineStr">
        <is>
          <t>subota</t>
        </is>
      </c>
      <c r="D29" s="83" t="n"/>
      <c r="E29" s="13" t="n"/>
      <c r="F29" s="53" t="n"/>
      <c r="G29" s="13" t="n"/>
      <c r="H29" s="53" t="n"/>
      <c r="I29" s="83" t="n"/>
      <c r="J29" s="61" t="n"/>
      <c r="K29" s="161" t="n"/>
      <c r="L29" s="61" t="n"/>
      <c r="M29" s="161" t="n"/>
      <c r="N29" s="83" t="n"/>
      <c r="O29" s="13" t="n"/>
      <c r="P29" s="53" t="n"/>
      <c r="Q29" s="13" t="n"/>
      <c r="R29" s="53" t="n"/>
      <c r="S29" s="83" t="n"/>
      <c r="T29" s="13" t="n"/>
      <c r="U29" s="53" t="n"/>
      <c r="V29" s="245" t="n"/>
      <c r="W29" s="53" t="n"/>
      <c r="X29" s="83" t="n"/>
      <c r="Y29" s="13" t="n"/>
      <c r="Z29" s="53" t="n"/>
      <c r="AA29" s="13" t="n"/>
      <c r="AB29" s="53" t="n"/>
      <c r="AC29" s="83" t="n"/>
      <c r="AD29" s="13" t="n"/>
      <c r="AE29" s="53" t="n"/>
      <c r="AF29" s="13" t="n"/>
      <c r="AG29" s="53" t="n"/>
      <c r="AH29" s="83" t="n"/>
      <c r="AI29" s="13" t="n"/>
      <c r="AJ29" s="53" t="n"/>
      <c r="AK29" s="13" t="n"/>
      <c r="AL29" s="53" t="n"/>
      <c r="AM29" s="156" t="n"/>
      <c r="AN29" s="13" t="n"/>
      <c r="AO29" s="53" t="n"/>
      <c r="AP29" s="13" t="n"/>
      <c r="AQ29" s="53" t="n"/>
      <c r="AR29" s="47" t="n"/>
      <c r="AS29" s="47" t="n"/>
      <c r="AT29" s="47" t="n"/>
      <c r="AU29" s="47" t="n"/>
    </row>
    <row r="30" customFormat="1" s="156">
      <c r="B30" s="145" t="n">
        <v>46047</v>
      </c>
      <c r="C30" s="146" t="inlineStr">
        <is>
          <t>nedjelja</t>
        </is>
      </c>
      <c r="D30" s="83" t="n"/>
      <c r="E30" s="13" t="n"/>
      <c r="F30" s="53" t="n"/>
      <c r="G30" s="13" t="n"/>
      <c r="H30" s="53" t="n"/>
      <c r="I30" s="83" t="n"/>
      <c r="J30" s="61" t="n"/>
      <c r="K30" s="161" t="n"/>
      <c r="L30" s="61" t="n"/>
      <c r="M30" s="161" t="n"/>
      <c r="N30" s="83" t="n"/>
      <c r="O30" s="13" t="n"/>
      <c r="P30" s="53" t="n"/>
      <c r="Q30" s="13" t="n"/>
      <c r="R30" s="53" t="n"/>
      <c r="S30" s="83" t="n"/>
      <c r="T30" s="13" t="n"/>
      <c r="U30" s="53" t="n"/>
      <c r="V30" s="245" t="n"/>
      <c r="W30" s="53" t="n"/>
      <c r="X30" s="83" t="n"/>
      <c r="Y30" s="13" t="n"/>
      <c r="Z30" s="53" t="n"/>
      <c r="AA30" s="245" t="n"/>
      <c r="AB30" s="53" t="n"/>
      <c r="AC30" s="83" t="n"/>
      <c r="AD30" s="13" t="n"/>
      <c r="AE30" s="53" t="n"/>
      <c r="AF30" s="245" t="n"/>
      <c r="AG30" s="53" t="n"/>
      <c r="AH30" s="83" t="n"/>
      <c r="AI30" s="13" t="n"/>
      <c r="AJ30" s="53" t="n"/>
      <c r="AK30" s="13" t="n"/>
      <c r="AL30" s="53" t="n"/>
      <c r="AM30" s="156" t="n"/>
      <c r="AN30" s="13" t="n"/>
      <c r="AO30" s="53" t="n"/>
      <c r="AP30" s="13" t="n"/>
      <c r="AQ30" s="53" t="n"/>
      <c r="AR30" s="47" t="n"/>
      <c r="AS30" s="47" t="n"/>
      <c r="AT30" s="47" t="n"/>
      <c r="AU30" s="47" t="n"/>
      <c r="AV30" s="47" t="n"/>
      <c r="AW30" s="47" t="n"/>
      <c r="AX30" s="47" t="n"/>
      <c r="AY30" s="47" t="n"/>
      <c r="AZ30" s="47" t="n"/>
      <c r="BA30" s="47" t="n"/>
      <c r="BB30" s="47" t="n"/>
      <c r="BC30" s="47" t="n"/>
    </row>
    <row r="31">
      <c r="B31" s="145" t="n">
        <v>46048</v>
      </c>
      <c r="C31" s="146" t="inlineStr">
        <is>
          <t>ponedjeljak</t>
        </is>
      </c>
      <c r="D31" s="83" t="n"/>
      <c r="E31" s="13" t="n"/>
      <c r="F31" s="53" t="n"/>
      <c r="G31" s="13" t="n"/>
      <c r="H31" s="53" t="n"/>
      <c r="I31" s="83" t="n"/>
      <c r="J31" s="61" t="n"/>
      <c r="K31" s="161" t="n"/>
      <c r="L31" s="61" t="n"/>
      <c r="M31" s="161" t="n"/>
      <c r="N31" s="83" t="n"/>
      <c r="O31" s="13" t="n"/>
      <c r="P31" s="53" t="n"/>
      <c r="Q31" s="13" t="n"/>
      <c r="R31" s="53" t="n"/>
      <c r="S31" s="83" t="n"/>
      <c r="T31" s="13" t="n"/>
      <c r="U31" s="53" t="n"/>
      <c r="V31" s="303" t="n"/>
      <c r="W31" s="161" t="n"/>
      <c r="X31" s="83" t="n"/>
      <c r="Y31" s="13" t="n"/>
      <c r="Z31" s="53" t="n"/>
      <c r="AA31" s="13" t="n"/>
      <c r="AB31" s="53" t="n"/>
      <c r="AC31" s="83" t="n"/>
      <c r="AD31" s="13" t="n"/>
      <c r="AE31" s="53" t="n"/>
      <c r="AF31" s="13" t="n"/>
      <c r="AG31" s="53" t="n"/>
      <c r="AH31" s="83" t="n"/>
      <c r="AI31" s="13" t="n"/>
      <c r="AJ31" s="53" t="n"/>
      <c r="AK31" s="13" t="n"/>
      <c r="AL31" s="53" t="n"/>
      <c r="AM31" s="156" t="n"/>
      <c r="AN31" s="13" t="n"/>
      <c r="AO31" s="53" t="n"/>
      <c r="AP31" s="13" t="n"/>
      <c r="AQ31" s="53" t="n"/>
      <c r="AR31" s="47" t="n"/>
      <c r="AS31" s="47" t="n"/>
      <c r="AT31" s="47" t="n"/>
      <c r="AU31" s="47" t="n"/>
    </row>
    <row r="32" ht="14.25" customHeight="1">
      <c r="B32" s="145" t="n">
        <v>46049</v>
      </c>
      <c r="C32" s="146" t="inlineStr">
        <is>
          <t>utorak</t>
        </is>
      </c>
      <c r="D32" s="83" t="n"/>
      <c r="E32" s="13" t="n"/>
      <c r="F32" s="53" t="n"/>
      <c r="G32" s="13" t="n"/>
      <c r="H32" s="53" t="n"/>
      <c r="I32" s="83" t="n"/>
      <c r="J32" s="169" t="n"/>
      <c r="K32" s="161" t="n"/>
      <c r="L32" s="61" t="n"/>
      <c r="M32" s="161" t="n"/>
      <c r="N32" s="83" t="n"/>
      <c r="O32" s="13" t="n"/>
      <c r="P32" s="53" t="n"/>
      <c r="Q32" s="245" t="n"/>
      <c r="R32" s="53" t="n"/>
      <c r="S32" s="83" t="n"/>
      <c r="T32" s="13" t="n"/>
      <c r="U32" s="53" t="n"/>
      <c r="V32" s="303" t="n"/>
      <c r="W32" s="161" t="n"/>
      <c r="X32" s="83" t="n"/>
      <c r="Y32" s="13" t="n"/>
      <c r="Z32" s="53" t="n"/>
      <c r="AA32" s="13" t="n"/>
      <c r="AB32" s="53" t="n"/>
      <c r="AC32" s="83" t="n"/>
      <c r="AD32" s="13" t="n"/>
      <c r="AE32" s="53" t="n"/>
      <c r="AF32" s="13" t="n"/>
      <c r="AG32" s="53" t="n"/>
      <c r="AH32" s="83" t="n"/>
      <c r="AI32" s="13" t="n"/>
      <c r="AJ32" s="53" t="n"/>
      <c r="AK32" s="13" t="n"/>
      <c r="AL32" s="53" t="n"/>
      <c r="AM32" s="156" t="n"/>
      <c r="AN32" s="13" t="n"/>
      <c r="AO32" s="53" t="n"/>
      <c r="AP32" s="13" t="n"/>
      <c r="AQ32" s="53" t="n"/>
      <c r="AR32" s="47" t="n"/>
      <c r="AS32" s="47" t="n"/>
      <c r="AT32" s="47" t="n"/>
      <c r="AU32" s="47" t="n"/>
    </row>
    <row r="33">
      <c r="B33" s="145" t="n">
        <v>46050</v>
      </c>
      <c r="C33" s="146" t="inlineStr">
        <is>
          <t>srijeda</t>
        </is>
      </c>
      <c r="D33" s="83" t="n"/>
      <c r="E33" s="13" t="n"/>
      <c r="F33" s="53" t="n"/>
      <c r="G33" s="13" t="n"/>
      <c r="H33" s="53" t="n"/>
      <c r="I33" s="83" t="n"/>
      <c r="J33" s="61" t="n"/>
      <c r="K33" s="161" t="n"/>
      <c r="L33" s="61" t="n"/>
      <c r="M33" s="161" t="n"/>
      <c r="N33" s="83" t="n"/>
      <c r="O33" s="13" t="n"/>
      <c r="P33" s="53" t="n"/>
      <c r="Q33" s="13" t="n"/>
      <c r="R33" s="53" t="n"/>
      <c r="S33" s="83" t="n"/>
      <c r="T33" s="13" t="n"/>
      <c r="U33" s="53" t="n"/>
      <c r="V33" s="245" t="n"/>
      <c r="W33" s="53" t="n"/>
      <c r="X33" s="83" t="n"/>
      <c r="Y33" s="13" t="n"/>
      <c r="Z33" s="53" t="n"/>
      <c r="AA33" s="13" t="n"/>
      <c r="AB33" s="53" t="n"/>
      <c r="AC33" s="83" t="n"/>
      <c r="AD33" s="13" t="n"/>
      <c r="AE33" s="53" t="n"/>
      <c r="AF33" s="13" t="n"/>
      <c r="AG33" s="53" t="n"/>
      <c r="AH33" s="83" t="n"/>
      <c r="AI33" s="13" t="n"/>
      <c r="AJ33" s="53" t="n"/>
      <c r="AK33" s="13" t="n"/>
      <c r="AL33" s="53" t="n"/>
      <c r="AM33" s="156" t="n"/>
      <c r="AN33" s="13" t="n"/>
      <c r="AO33" s="53" t="n"/>
      <c r="AP33" s="13" t="n"/>
      <c r="AQ33" s="53" t="n"/>
      <c r="AR33" s="47" t="n"/>
      <c r="AS33" s="47" t="n"/>
      <c r="AT33" s="47" t="n"/>
      <c r="AU33" s="47" t="n"/>
    </row>
    <row r="34">
      <c r="B34" s="145" t="n">
        <v>46051</v>
      </c>
      <c r="C34" s="146" t="inlineStr">
        <is>
          <t>četvrtak</t>
        </is>
      </c>
      <c r="D34" s="83" t="n"/>
      <c r="E34" s="13" t="n"/>
      <c r="F34" s="53" t="n"/>
      <c r="G34" s="13" t="n"/>
      <c r="H34" s="53" t="n"/>
      <c r="I34" s="83" t="n"/>
      <c r="J34" s="61" t="n"/>
      <c r="K34" s="161" t="n"/>
      <c r="L34" s="61" t="n"/>
      <c r="M34" s="161" t="n"/>
      <c r="N34" s="83" t="n"/>
      <c r="O34" s="13" t="n"/>
      <c r="P34" s="53" t="n"/>
      <c r="Q34" s="13" t="n"/>
      <c r="R34" s="53" t="n"/>
      <c r="S34" s="83" t="n"/>
      <c r="T34" s="13" t="n"/>
      <c r="U34" s="53" t="n"/>
      <c r="V34" s="245" t="n"/>
      <c r="W34" s="53" t="n"/>
      <c r="X34" s="83" t="n"/>
      <c r="Y34" s="13" t="n"/>
      <c r="Z34" s="53" t="n"/>
      <c r="AA34" s="13" t="n"/>
      <c r="AB34" s="53" t="n"/>
      <c r="AC34" s="83" t="n"/>
      <c r="AD34" s="13" t="n"/>
      <c r="AE34" s="53" t="n"/>
      <c r="AF34" s="13" t="n"/>
      <c r="AG34" s="53" t="n"/>
      <c r="AH34" s="83" t="n"/>
      <c r="AI34" s="13" t="n"/>
      <c r="AJ34" s="53" t="n"/>
      <c r="AK34" s="13" t="n"/>
      <c r="AL34" s="53" t="n"/>
      <c r="AM34" s="156" t="n"/>
      <c r="AN34" s="13" t="n"/>
      <c r="AO34" s="53" t="n"/>
      <c r="AP34" s="13" t="n"/>
      <c r="AQ34" s="53" t="n"/>
    </row>
    <row r="35">
      <c r="B35" s="145" t="n">
        <v>46052</v>
      </c>
      <c r="C35" s="146" t="inlineStr">
        <is>
          <t>petak</t>
        </is>
      </c>
      <c r="D35" s="83" t="n"/>
      <c r="E35" s="13" t="n"/>
      <c r="F35" s="53" t="n"/>
      <c r="G35" s="13" t="n"/>
      <c r="H35" s="53" t="n"/>
      <c r="I35" s="83" t="n"/>
      <c r="J35" s="61" t="n"/>
      <c r="K35" s="161" t="n"/>
      <c r="L35" s="61" t="n"/>
      <c r="M35" s="161" t="n"/>
      <c r="N35" s="83" t="n"/>
      <c r="O35" s="13" t="n"/>
      <c r="P35" s="53" t="n"/>
      <c r="Q35" s="13" t="n"/>
      <c r="R35" s="53" t="n"/>
      <c r="S35" s="83" t="n"/>
      <c r="T35" s="13" t="n"/>
      <c r="U35" s="53" t="n"/>
      <c r="V35" s="245" t="n"/>
      <c r="W35" s="53" t="n"/>
      <c r="X35" s="83" t="n"/>
      <c r="Y35" s="13" t="n"/>
      <c r="Z35" s="53" t="n"/>
      <c r="AA35" s="13" t="n"/>
      <c r="AB35" s="53" t="n"/>
      <c r="AC35" s="83" t="n"/>
      <c r="AD35" s="13" t="n"/>
      <c r="AE35" s="53" t="n"/>
      <c r="AF35" s="13" t="n"/>
      <c r="AG35" s="53" t="n"/>
      <c r="AH35" s="83" t="n"/>
      <c r="AI35" s="13" t="n"/>
      <c r="AJ35" s="53" t="n"/>
      <c r="AK35" s="13" t="n"/>
      <c r="AL35" s="53" t="n"/>
      <c r="AN35" s="13" t="n"/>
      <c r="AO35" s="53" t="n"/>
      <c r="AP35" s="13" t="n"/>
      <c r="AQ35" s="53" t="n"/>
    </row>
    <row r="36" ht="15.75" customHeight="1" thickBot="1">
      <c r="B36" s="145" t="n">
        <v>46053</v>
      </c>
      <c r="C36" s="146" t="inlineStr">
        <is>
          <t>subota</t>
        </is>
      </c>
      <c r="D36" s="83" t="n"/>
      <c r="E36" s="13" t="n"/>
      <c r="F36" s="53" t="n"/>
      <c r="G36" s="13" t="n"/>
      <c r="H36" s="53" t="n"/>
      <c r="I36" s="83" t="n"/>
      <c r="J36" s="33" t="n"/>
      <c r="K36" s="34" t="n"/>
      <c r="L36" s="13" t="n"/>
      <c r="M36" s="53" t="n"/>
      <c r="N36" s="83" t="n"/>
      <c r="O36" s="13" t="n"/>
      <c r="P36" s="53" t="n"/>
      <c r="Q36" s="13" t="n"/>
      <c r="R36" s="53" t="n"/>
      <c r="S36" s="83" t="n"/>
      <c r="T36" s="33" t="n"/>
      <c r="U36" s="34" t="n"/>
      <c r="V36" s="97" t="n"/>
      <c r="W36" s="34" t="n"/>
      <c r="X36" s="83" t="n"/>
      <c r="Y36" s="13" t="n"/>
      <c r="Z36" s="53" t="n"/>
      <c r="AA36" s="13" t="n"/>
      <c r="AB36" s="53" t="n"/>
      <c r="AC36" s="83" t="n"/>
      <c r="AD36" s="13" t="n"/>
      <c r="AE36" s="53" t="n"/>
      <c r="AF36" s="13" t="n"/>
      <c r="AG36" s="53" t="n"/>
      <c r="AH36" s="83" t="n"/>
      <c r="AI36" s="13" t="n"/>
      <c r="AJ36" s="53" t="n"/>
      <c r="AK36" s="13" t="n"/>
      <c r="AL36" s="53" t="n"/>
      <c r="AN36" s="13" t="n"/>
      <c r="AO36" s="53" t="n"/>
      <c r="AP36" s="13" t="n"/>
      <c r="AQ36" s="53" t="n"/>
    </row>
    <row r="37" ht="15.75" customHeight="1" thickBot="1">
      <c r="D37" s="9" t="n"/>
      <c r="E37" s="147">
        <f>SUM(E6:E36)</f>
        <v/>
      </c>
      <c r="F37" s="148">
        <f>SUM(F6:F36)</f>
        <v/>
      </c>
      <c r="G37" s="227">
        <f>SUM(G6:G36)</f>
        <v/>
      </c>
      <c r="H37" s="147">
        <f>SUM(H6:H36)</f>
        <v/>
      </c>
      <c r="I37" s="182" t="n"/>
      <c r="J37" s="147">
        <f>SUM(J6:J36)</f>
        <v/>
      </c>
      <c r="K37" s="148">
        <f>SUM(K6:K36)</f>
        <v/>
      </c>
      <c r="L37" s="227">
        <f>SUM(L6:L36)</f>
        <v/>
      </c>
      <c r="M37" s="147">
        <f>SUM(M6:M36)</f>
        <v/>
      </c>
      <c r="N37" s="182" t="n"/>
      <c r="O37" s="147">
        <f>SUM(O6:O36)</f>
        <v/>
      </c>
      <c r="P37" s="148">
        <f>SUM(P6:P36)</f>
        <v/>
      </c>
      <c r="Q37" s="227">
        <f>SUM(Q6:Q36)</f>
        <v/>
      </c>
      <c r="R37" s="147">
        <f>SUM(R6:R36)</f>
        <v/>
      </c>
      <c r="S37" s="182" t="n"/>
      <c r="T37" s="227">
        <f>SUM(T6:T36)</f>
        <v/>
      </c>
      <c r="U37" s="227">
        <f>SUM(U6:U36)</f>
        <v/>
      </c>
      <c r="V37" s="227">
        <f>SUM(V6:V36)</f>
        <v/>
      </c>
      <c r="W37" s="147">
        <f>SUM(W6:W36)</f>
        <v/>
      </c>
      <c r="X37" s="182" t="n"/>
      <c r="Y37" s="147">
        <f>SUM(Y6:Y36)</f>
        <v/>
      </c>
      <c r="Z37" s="148">
        <f>SUM(Z6:Z36)</f>
        <v/>
      </c>
      <c r="AA37" s="227">
        <f>SUM(AA6:AA36)</f>
        <v/>
      </c>
      <c r="AB37" s="147">
        <f>SUM(AB6:AB36)</f>
        <v/>
      </c>
      <c r="AC37" s="182" t="n"/>
      <c r="AD37" s="147">
        <f>SUM(AD6:AD36)</f>
        <v/>
      </c>
      <c r="AE37" s="148">
        <f>SUM(AE6:AE36)</f>
        <v/>
      </c>
      <c r="AF37" s="227">
        <f>SUM(AF6:AF36)</f>
        <v/>
      </c>
      <c r="AG37" s="147">
        <f>SUM(AG6:AG36)</f>
        <v/>
      </c>
      <c r="AH37" s="182" t="n"/>
      <c r="AI37" s="147">
        <f>SUM(AI6:AI36)</f>
        <v/>
      </c>
      <c r="AJ37" s="148">
        <f>SUM(AJ6:AJ36)</f>
        <v/>
      </c>
      <c r="AK37" s="227">
        <f>SUM(AK6:AK36)</f>
        <v/>
      </c>
      <c r="AL37" s="147">
        <f>SUM(AL6:AL36)</f>
        <v/>
      </c>
      <c r="AM37" s="151" t="n"/>
      <c r="AN37" s="147">
        <f>SUM(AN6:AN36)</f>
        <v/>
      </c>
      <c r="AO37" s="148">
        <f>SUM(AO6:AO36)</f>
        <v/>
      </c>
      <c r="AP37" s="227">
        <f>SUM(AP6:AP36)</f>
        <v/>
      </c>
      <c r="AQ37" s="147">
        <f>SUM(AQ6:AQ36)</f>
        <v/>
      </c>
    </row>
    <row r="38" ht="15.75" customHeight="1" thickBot="1">
      <c r="D38" s="9" t="n"/>
      <c r="E38" s="147">
        <f>SUM(E37:F37)</f>
        <v/>
      </c>
      <c r="F38" s="322" t="n"/>
      <c r="G38" s="147">
        <f>SUM(G37:H37)</f>
        <v/>
      </c>
      <c r="H38" s="322" t="n"/>
      <c r="I38" s="182" t="n"/>
      <c r="J38" s="147">
        <f>SUM(J37:K37)</f>
        <v/>
      </c>
      <c r="K38" s="322" t="n"/>
      <c r="L38" s="147">
        <f>SUM(L37+M37)</f>
        <v/>
      </c>
      <c r="M38" s="322" t="n"/>
      <c r="N38" s="182" t="n"/>
      <c r="O38" s="147">
        <f>SUM(O37:P37)</f>
        <v/>
      </c>
      <c r="P38" s="322" t="n"/>
      <c r="Q38" s="147">
        <f>SUM(Q37:R37)</f>
        <v/>
      </c>
      <c r="R38" s="322" t="n"/>
      <c r="S38" s="182" t="n"/>
      <c r="T38" s="147">
        <f>SUM(T37:U37)</f>
        <v/>
      </c>
      <c r="U38" s="322" t="n"/>
      <c r="V38" s="147">
        <f>SUM(V37+W37)</f>
        <v/>
      </c>
      <c r="W38" s="322" t="n"/>
      <c r="X38" s="182" t="n"/>
      <c r="Y38" s="147">
        <f>SUM(Y37:Z37)</f>
        <v/>
      </c>
      <c r="Z38" s="322" t="n"/>
      <c r="AA38" s="147">
        <f>SUM(AA37:AB37)</f>
        <v/>
      </c>
      <c r="AB38" s="322" t="n"/>
      <c r="AC38" s="182" t="n"/>
      <c r="AD38" s="147">
        <f>SUM(AD37:AE37)</f>
        <v/>
      </c>
      <c r="AE38" s="322" t="n"/>
      <c r="AF38" s="147">
        <f>SUM(AF37:AG37)</f>
        <v/>
      </c>
      <c r="AG38" s="322" t="n"/>
      <c r="AH38" s="182" t="n"/>
      <c r="AI38" s="147">
        <f>SUM(AI37:AJ37)</f>
        <v/>
      </c>
      <c r="AJ38" s="322" t="n"/>
      <c r="AK38" s="147">
        <f>SUM(AK37:AL37)</f>
        <v/>
      </c>
      <c r="AL38" s="322" t="n"/>
      <c r="AM38" s="151" t="n"/>
      <c r="AN38" s="147">
        <f>SUM(AN37:AO37)</f>
        <v/>
      </c>
      <c r="AO38" s="322" t="n"/>
      <c r="AP38" s="147">
        <f>SUM(AP37:AQ37)</f>
        <v/>
      </c>
      <c r="AQ38" s="322" t="n"/>
    </row>
    <row r="39" ht="15.75" customHeight="1">
      <c r="D39" s="5" t="n"/>
      <c r="E39" s="5" t="n"/>
      <c r="F39" s="5" t="n"/>
      <c r="G39" s="5" t="n"/>
      <c r="H39" s="5" t="n"/>
      <c r="I39" s="5" t="n"/>
      <c r="J39" s="229" t="n"/>
      <c r="K39" s="156" t="n"/>
      <c r="L39" s="229" t="n"/>
      <c r="M39" s="156" t="n"/>
      <c r="N39" s="229" t="n"/>
      <c r="O39" s="229" t="n"/>
      <c r="P39" s="229" t="n"/>
      <c r="Q39" s="229" t="n"/>
      <c r="R39" s="229" t="n"/>
      <c r="S39" s="5" t="n"/>
      <c r="T39" s="229" t="n"/>
      <c r="U39" s="156" t="n"/>
      <c r="V39" s="229" t="n"/>
      <c r="W39" s="156" t="n"/>
      <c r="X39" s="5" t="n"/>
      <c r="Y39" s="229" t="n"/>
      <c r="Z39" s="156" t="n"/>
      <c r="AA39" s="229" t="n"/>
      <c r="AB39" s="156" t="n"/>
      <c r="AC39" s="229" t="n"/>
      <c r="AD39" s="229" t="n"/>
      <c r="AE39" s="229" t="n"/>
      <c r="AF39" s="229" t="n"/>
      <c r="AG39" s="229" t="n"/>
      <c r="AH39" s="229" t="n"/>
      <c r="AI39" s="229" t="n"/>
      <c r="AJ39" s="156" t="n"/>
      <c r="AK39" s="229" t="n"/>
      <c r="AL39" s="156" t="n"/>
      <c r="AN39" s="229" t="n"/>
      <c r="AO39" s="156" t="n"/>
      <c r="AP39" s="229" t="n"/>
      <c r="AQ39" s="156" t="n"/>
    </row>
    <row r="41" hidden="1">
      <c r="J41" s="47">
        <f>J38</f>
        <v/>
      </c>
      <c r="L41" s="47">
        <f>L38</f>
        <v/>
      </c>
      <c r="T41" s="47">
        <f>T38</f>
        <v/>
      </c>
      <c r="V41" s="47">
        <f>V38</f>
        <v/>
      </c>
      <c r="Y41" s="47">
        <f>Y38</f>
        <v/>
      </c>
      <c r="AA41" s="47">
        <f>AA38</f>
        <v/>
      </c>
      <c r="AI41" s="47">
        <f>AI38</f>
        <v/>
      </c>
      <c r="AK41" s="47">
        <f>AK38</f>
        <v/>
      </c>
      <c r="AN41" s="47">
        <f>AN38</f>
        <v/>
      </c>
      <c r="AP41" s="47">
        <f>AP38</f>
        <v/>
      </c>
    </row>
    <row r="42" hidden="1"/>
    <row r="43" hidden="1">
      <c r="V43" s="47" t="n"/>
    </row>
  </sheetData>
  <mergeCells count="54">
    <mergeCell ref="T39:U39"/>
    <mergeCell ref="J39:K39"/>
    <mergeCell ref="Y38:Z38"/>
    <mergeCell ref="J5:K5"/>
    <mergeCell ref="AA38:AB38"/>
    <mergeCell ref="J38:K38"/>
    <mergeCell ref="AI38:AJ38"/>
    <mergeCell ref="T5:U5"/>
    <mergeCell ref="AD38:AE38"/>
    <mergeCell ref="T38:U38"/>
    <mergeCell ref="E5:F5"/>
    <mergeCell ref="V38:W38"/>
    <mergeCell ref="V5:W5"/>
    <mergeCell ref="AD5:AE5"/>
    <mergeCell ref="AI2:AL2"/>
    <mergeCell ref="AN5:AO5"/>
    <mergeCell ref="AP5:AQ5"/>
    <mergeCell ref="AP39:AQ39"/>
    <mergeCell ref="Y39:Z39"/>
    <mergeCell ref="AA39:AB39"/>
    <mergeCell ref="E38:F38"/>
    <mergeCell ref="AD4:AG4"/>
    <mergeCell ref="G38:H38"/>
    <mergeCell ref="O5:P5"/>
    <mergeCell ref="AK39:AL39"/>
    <mergeCell ref="AP38:AQ38"/>
    <mergeCell ref="Q5:R5"/>
    <mergeCell ref="Q38:R38"/>
    <mergeCell ref="Y4:AB4"/>
    <mergeCell ref="Y5:Z5"/>
    <mergeCell ref="AA5:AB5"/>
    <mergeCell ref="AK38:AL38"/>
    <mergeCell ref="L5:M5"/>
    <mergeCell ref="L39:M39"/>
    <mergeCell ref="AK5:AL5"/>
    <mergeCell ref="V39:W39"/>
    <mergeCell ref="L38:M38"/>
    <mergeCell ref="T4:W4"/>
    <mergeCell ref="E4:H4"/>
    <mergeCell ref="AN4:AQ4"/>
    <mergeCell ref="G5:H5"/>
    <mergeCell ref="T2:AG2"/>
    <mergeCell ref="E2:R2"/>
    <mergeCell ref="AF5:AG5"/>
    <mergeCell ref="AN39:AO39"/>
    <mergeCell ref="O4:R4"/>
    <mergeCell ref="AI4:AL4"/>
    <mergeCell ref="J4:M4"/>
    <mergeCell ref="O38:P38"/>
    <mergeCell ref="AF38:AG38"/>
    <mergeCell ref="AN38:AO38"/>
    <mergeCell ref="AI5:AJ5"/>
    <mergeCell ref="AI39:AJ39"/>
    <mergeCell ref="AN2:AQ2"/>
  </mergeCells>
  <pageMargins left="0.7" right="0.7" top="0.75" bottom="0.75" header="0.3" footer="0.3"/>
  <pageSetup orientation="landscape" paperSize="9" scale="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P42"/>
  <sheetViews>
    <sheetView zoomScaleNormal="100" workbookViewId="0">
      <selection activeCell="N16" sqref="N16"/>
    </sheetView>
  </sheetViews>
  <sheetFormatPr baseColWidth="8" defaultRowHeight="15"/>
  <cols>
    <col width="9.140625" customWidth="1" style="156" min="1" max="1"/>
    <col width="0.7109375" customWidth="1" style="156" min="2" max="2"/>
    <col width="10.28515625" customWidth="1" style="156" min="3" max="3"/>
    <col width="13.28515625" bestFit="1" customWidth="1" style="156" min="4" max="4"/>
    <col width="10.7109375" customWidth="1" style="156" min="5" max="5"/>
    <col width="5" customWidth="1" style="156" min="6" max="6"/>
    <col width="10.7109375" customWidth="1" style="156" min="7" max="7"/>
    <col width="4.85546875" customWidth="1" style="156" min="8" max="8"/>
    <col width="10.7109375" customWidth="1" style="156" min="9" max="10"/>
    <col width="9.140625" customWidth="1" style="156" min="11" max="11"/>
    <col width="14.140625" customWidth="1" style="156" min="12" max="12"/>
    <col width="45.42578125" customWidth="1" style="156" min="13" max="13"/>
    <col width="20.42578125" customWidth="1" style="156" min="14" max="14"/>
    <col width="27.7109375" customWidth="1" style="77" min="15" max="15"/>
    <col width="9.140625" customWidth="1" style="77" min="16" max="16"/>
    <col width="9.140625" customWidth="1" style="156" min="17" max="16384"/>
  </cols>
  <sheetData>
    <row r="3" ht="15.75" customHeight="1" thickBot="1">
      <c r="I3" s="248" t="inlineStr">
        <is>
          <t>SAMO CARGO TEŽINE</t>
        </is>
      </c>
      <c r="J3" s="156" t="n"/>
    </row>
    <row r="4" ht="16.5" customHeight="1" thickBot="1">
      <c r="C4" s="17" t="n"/>
      <c r="D4" s="17" t="n"/>
      <c r="E4" s="23" t="inlineStr">
        <is>
          <t>PUTNICI</t>
        </is>
      </c>
      <c r="F4" s="323" t="n"/>
      <c r="G4" s="321" t="n"/>
      <c r="H4" s="99" t="n"/>
      <c r="I4" s="324" t="inlineStr">
        <is>
          <t>TERET (u tonama)</t>
        </is>
      </c>
      <c r="J4" s="313" t="n"/>
      <c r="K4" s="246" t="inlineStr">
        <is>
          <t>RUTA</t>
        </is>
      </c>
      <c r="L4" s="321" t="n"/>
      <c r="M4" s="246" t="inlineStr">
        <is>
          <t>KOMPANIJA</t>
        </is>
      </c>
      <c r="N4" s="246" t="inlineStr">
        <is>
          <t>TIP OPERACIJE</t>
        </is>
      </c>
      <c r="O4" s="246" t="inlineStr">
        <is>
          <t>PUTNICI U TRANZITU</t>
        </is>
      </c>
    </row>
    <row r="5" ht="16.5" customHeight="1" thickBot="1">
      <c r="C5" s="39" t="inlineStr">
        <is>
          <t>Datum</t>
        </is>
      </c>
      <c r="D5" s="100" t="inlineStr">
        <is>
          <t>Br. Operacija</t>
        </is>
      </c>
      <c r="E5" s="102" t="inlineStr">
        <is>
          <t>Ukrcano</t>
        </is>
      </c>
      <c r="F5" s="102" t="inlineStr">
        <is>
          <t>INF</t>
        </is>
      </c>
      <c r="G5" s="102" t="inlineStr">
        <is>
          <t>Iskrcano</t>
        </is>
      </c>
      <c r="H5" s="36" t="inlineStr">
        <is>
          <t>INF</t>
        </is>
      </c>
      <c r="I5" s="36" t="inlineStr">
        <is>
          <t>Utovareno</t>
        </is>
      </c>
      <c r="J5" s="36" t="inlineStr">
        <is>
          <t>Istovareno</t>
        </is>
      </c>
      <c r="K5" s="325" t="n"/>
      <c r="L5" s="326" t="n"/>
      <c r="M5" s="327" t="n"/>
      <c r="N5" s="327" t="n"/>
      <c r="O5" s="327" t="n"/>
    </row>
    <row r="6" ht="15.75" customHeight="1" thickBot="1">
      <c r="C6" s="95" t="n">
        <v>46023</v>
      </c>
      <c r="D6" s="13" t="n"/>
      <c r="E6" s="259" t="n"/>
      <c r="F6" s="101" t="n"/>
      <c r="G6" s="259" t="n"/>
      <c r="H6" s="259" t="n"/>
      <c r="I6" s="51" t="n"/>
      <c r="J6" s="259" t="n"/>
      <c r="K6" s="260" t="n"/>
      <c r="L6" s="328" t="n"/>
      <c r="M6" s="260" t="n"/>
      <c r="N6" s="126" t="n"/>
      <c r="O6" s="126" t="n"/>
    </row>
    <row r="7" ht="15.75" customHeight="1" thickBot="1">
      <c r="C7" s="95" t="n">
        <v>46024</v>
      </c>
      <c r="D7" s="13" t="n"/>
      <c r="E7" s="52" t="n"/>
      <c r="F7" s="101" t="n"/>
      <c r="G7" s="52" t="n"/>
      <c r="H7" s="52" t="n"/>
      <c r="I7" s="51" t="n"/>
      <c r="J7" s="259" t="n"/>
      <c r="K7" s="260" t="n"/>
      <c r="L7" s="328" t="n"/>
      <c r="M7" s="244" t="n"/>
      <c r="N7" s="126" t="n"/>
      <c r="O7" s="259" t="n"/>
    </row>
    <row r="8" ht="15.75" customHeight="1" thickBot="1">
      <c r="C8" s="95" t="n">
        <v>46025</v>
      </c>
      <c r="D8" s="13" t="n"/>
      <c r="E8" s="259" t="n"/>
      <c r="F8" s="101" t="n"/>
      <c r="G8" s="259" t="n"/>
      <c r="H8" s="259" t="n"/>
      <c r="I8" s="51" t="n"/>
      <c r="J8" s="259" t="n"/>
      <c r="K8" s="260" t="n"/>
      <c r="L8" s="328" t="n"/>
      <c r="M8" s="260" t="n"/>
      <c r="N8" s="126" t="n"/>
      <c r="O8" s="259" t="n"/>
    </row>
    <row r="9" ht="15.75" customHeight="1" thickBot="1">
      <c r="C9" s="95" t="n">
        <v>46026</v>
      </c>
      <c r="D9" s="54" t="n"/>
      <c r="E9" s="58" t="n"/>
      <c r="F9" s="101" t="n"/>
      <c r="G9" s="58" t="n"/>
      <c r="H9" s="58" t="n"/>
      <c r="I9" s="51" t="n"/>
      <c r="J9" s="259" t="n"/>
      <c r="K9" s="260" t="n"/>
      <c r="L9" s="328" t="n"/>
      <c r="M9" s="260" t="n"/>
      <c r="N9" s="126" t="n"/>
      <c r="O9" s="101" t="n"/>
    </row>
    <row r="10" ht="15.75" customHeight="1" thickBot="1">
      <c r="C10" s="95" t="n">
        <v>46027</v>
      </c>
      <c r="D10" s="13" t="n"/>
      <c r="E10" s="58" t="n"/>
      <c r="F10" s="101" t="n"/>
      <c r="G10" s="58" t="n"/>
      <c r="H10" s="58" t="n"/>
      <c r="I10" s="51" t="n"/>
      <c r="J10" s="259" t="n"/>
      <c r="K10" s="260" t="n"/>
      <c r="L10" s="328" t="n"/>
      <c r="M10" s="244" t="n"/>
      <c r="N10" s="126" t="n"/>
      <c r="O10" s="104" t="n"/>
    </row>
    <row r="11">
      <c r="C11" s="95" t="n">
        <v>46028</v>
      </c>
      <c r="D11" s="54" t="n"/>
      <c r="E11" s="58" t="n"/>
      <c r="F11" s="101" t="n"/>
      <c r="G11" s="58" t="n"/>
      <c r="H11" s="58" t="n"/>
      <c r="I11" s="51" t="n"/>
      <c r="J11" s="259" t="n"/>
      <c r="K11" s="260" t="n"/>
      <c r="L11" s="328" t="n"/>
      <c r="M11" s="260" t="n"/>
      <c r="N11" s="126" t="n"/>
      <c r="O11" s="101" t="n"/>
    </row>
    <row r="12" ht="15.75" customHeight="1" thickBot="1">
      <c r="C12" s="95" t="n">
        <v>46029</v>
      </c>
      <c r="D12" s="13" t="n"/>
      <c r="E12" s="58" t="n"/>
      <c r="F12" s="101" t="n"/>
      <c r="G12" s="58" t="n"/>
      <c r="H12" s="58" t="n"/>
      <c r="I12" s="58" t="n"/>
      <c r="J12" s="58" t="n"/>
      <c r="K12" s="259" t="n"/>
      <c r="L12" s="329" t="n"/>
      <c r="M12" s="259" t="n"/>
      <c r="N12" s="127" t="n"/>
      <c r="O12" s="127" t="n"/>
    </row>
    <row r="13" ht="15.75" customHeight="1" thickBot="1">
      <c r="C13" s="95" t="n">
        <v>46030</v>
      </c>
      <c r="D13" s="13" t="n"/>
      <c r="E13" s="259" t="n"/>
      <c r="F13" s="101" t="n"/>
      <c r="G13" s="259" t="n"/>
      <c r="H13" s="259" t="n"/>
      <c r="I13" s="159" t="n"/>
      <c r="J13" s="259" t="n"/>
      <c r="K13" s="260" t="n"/>
      <c r="L13" s="328" t="n"/>
      <c r="M13" s="260" t="n"/>
      <c r="N13" s="126" t="n"/>
      <c r="O13" s="259" t="n"/>
    </row>
    <row r="14" ht="15.75" customHeight="1" thickBot="1">
      <c r="C14" s="95" t="n">
        <v>46031</v>
      </c>
      <c r="D14" s="13" t="n"/>
      <c r="E14" s="259" t="n"/>
      <c r="F14" s="101" t="n"/>
      <c r="G14" s="259" t="n"/>
      <c r="H14" s="259" t="n"/>
      <c r="I14" s="159" t="n"/>
      <c r="J14" s="259" t="n"/>
      <c r="K14" s="260" t="n"/>
      <c r="L14" s="328" t="n"/>
      <c r="M14" s="244" t="n"/>
      <c r="N14" s="126" t="n"/>
      <c r="O14" s="259" t="n"/>
    </row>
    <row r="15">
      <c r="C15" s="95" t="n">
        <v>46032</v>
      </c>
      <c r="D15" s="13" t="n"/>
      <c r="E15" s="259" t="n"/>
      <c r="F15" s="101" t="n"/>
      <c r="G15" s="259" t="n"/>
      <c r="H15" s="259" t="n"/>
      <c r="I15" s="259" t="n"/>
      <c r="J15" s="259" t="n"/>
      <c r="K15" s="260" t="n"/>
      <c r="L15" s="328" t="n"/>
      <c r="M15" s="260" t="n"/>
      <c r="N15" s="126" t="n"/>
      <c r="O15" s="259" t="n"/>
    </row>
    <row r="16" ht="15.75" customHeight="1" thickBot="1">
      <c r="C16" s="95" t="n">
        <v>46033</v>
      </c>
      <c r="D16" s="54" t="n"/>
      <c r="E16" s="58" t="n"/>
      <c r="F16" s="101" t="n"/>
      <c r="G16" s="58" t="n"/>
      <c r="H16" s="58" t="n"/>
      <c r="I16" s="59" t="n"/>
      <c r="J16" s="58" t="n"/>
      <c r="K16" s="259" t="n"/>
      <c r="L16" s="329" t="n"/>
      <c r="M16" s="259" t="n"/>
      <c r="N16" s="259" t="n"/>
      <c r="O16" s="259" t="n"/>
    </row>
    <row r="17" ht="15.75" customHeight="1" thickBot="1">
      <c r="C17" s="95" t="n">
        <v>46034</v>
      </c>
      <c r="D17" s="13" t="n"/>
      <c r="E17" s="259" t="n"/>
      <c r="F17" s="101" t="n"/>
      <c r="G17" s="259" t="n"/>
      <c r="H17" s="259" t="n"/>
      <c r="I17" s="259" t="n"/>
      <c r="J17" s="259" t="n"/>
      <c r="K17" s="260" t="n"/>
      <c r="L17" s="328" t="n"/>
      <c r="M17" s="244" t="n"/>
      <c r="N17" s="126" t="n"/>
      <c r="O17" s="104" t="n"/>
    </row>
    <row r="18">
      <c r="C18" s="95" t="n">
        <v>46035</v>
      </c>
      <c r="D18" s="13" t="n"/>
      <c r="E18" s="259" t="n"/>
      <c r="F18" s="101" t="n"/>
      <c r="G18" s="259" t="n"/>
      <c r="H18" s="259" t="n"/>
      <c r="I18" s="159" t="n"/>
      <c r="J18" s="259" t="n"/>
      <c r="K18" s="260" t="n"/>
      <c r="L18" s="328" t="n"/>
      <c r="M18" s="260" t="n"/>
      <c r="N18" s="126" t="n"/>
      <c r="O18" s="259" t="n"/>
    </row>
    <row r="19" ht="15.75" customHeight="1" thickBot="1">
      <c r="C19" s="95" t="n">
        <v>46036</v>
      </c>
      <c r="D19" s="13" t="n"/>
      <c r="E19" s="259" t="n"/>
      <c r="F19" s="101" t="n"/>
      <c r="G19" s="259" t="n"/>
      <c r="H19" s="259" t="n"/>
      <c r="I19" s="51" t="n"/>
      <c r="J19" s="259" t="n"/>
      <c r="K19" s="260" t="n"/>
      <c r="L19" s="328" t="n"/>
      <c r="M19" s="260" t="n"/>
      <c r="N19" s="259" t="n"/>
      <c r="O19" s="259" t="n"/>
    </row>
    <row r="20" ht="15.75" customHeight="1" thickBot="1">
      <c r="C20" s="95" t="n">
        <v>46037</v>
      </c>
      <c r="D20" s="13" t="n"/>
      <c r="E20" s="52" t="n"/>
      <c r="F20" s="101" t="n"/>
      <c r="G20" s="52" t="n"/>
      <c r="H20" s="52" t="n"/>
      <c r="I20" s="51" t="n"/>
      <c r="J20" s="259" t="n"/>
      <c r="K20" s="260" t="n"/>
      <c r="L20" s="328" t="n"/>
      <c r="M20" s="244" t="n"/>
      <c r="N20" s="126" t="n"/>
      <c r="O20" s="259" t="n"/>
    </row>
    <row r="21" ht="15.75" customHeight="1" thickBot="1">
      <c r="C21" s="95" t="n">
        <v>46038</v>
      </c>
      <c r="D21" s="13" t="n"/>
      <c r="E21" s="259" t="n"/>
      <c r="F21" s="101" t="n"/>
      <c r="G21" s="259" t="n"/>
      <c r="H21" s="259" t="n"/>
      <c r="I21" s="51" t="n"/>
      <c r="J21" s="259" t="n"/>
      <c r="K21" s="260" t="n"/>
      <c r="L21" s="328" t="n"/>
      <c r="M21" s="260" t="n"/>
      <c r="N21" s="126" t="n"/>
      <c r="O21" s="259" t="n"/>
    </row>
    <row r="22" ht="15.75" customHeight="1" thickBot="1">
      <c r="C22" s="95" t="n">
        <v>46039</v>
      </c>
      <c r="D22" s="54" t="n"/>
      <c r="E22" s="58" t="n"/>
      <c r="F22" s="101" t="n"/>
      <c r="G22" s="58" t="n"/>
      <c r="H22" s="58" t="n"/>
      <c r="I22" s="51" t="n"/>
      <c r="J22" s="259" t="n"/>
      <c r="K22" s="260" t="n"/>
      <c r="L22" s="328" t="n"/>
      <c r="M22" s="260" t="n"/>
      <c r="N22" s="126" t="n"/>
      <c r="O22" s="259" t="n"/>
    </row>
    <row r="23" ht="15.75" customHeight="1" thickBot="1">
      <c r="C23" s="95" t="n">
        <v>46040</v>
      </c>
      <c r="D23" s="13" t="n"/>
      <c r="E23" s="259" t="n"/>
      <c r="F23" s="101" t="n"/>
      <c r="G23" s="259" t="n"/>
      <c r="H23" s="259" t="n"/>
      <c r="I23" s="52" t="n"/>
      <c r="J23" s="259" t="n"/>
      <c r="K23" s="259" t="n"/>
      <c r="L23" s="329" t="n"/>
      <c r="M23" s="260" t="n"/>
      <c r="N23" s="126" t="n"/>
      <c r="O23" s="259" t="n"/>
      <c r="P23" s="156" t="n"/>
    </row>
    <row r="24" ht="15.75" customHeight="1" thickBot="1">
      <c r="C24" s="95" t="n">
        <v>46041</v>
      </c>
      <c r="D24" s="13" t="n"/>
      <c r="E24" s="259" t="n"/>
      <c r="F24" s="101" t="n"/>
      <c r="G24" s="259" t="n"/>
      <c r="H24" s="259" t="n"/>
      <c r="I24" s="52" t="n"/>
      <c r="J24" s="259" t="n"/>
      <c r="K24" s="259" t="n"/>
      <c r="L24" s="329" t="n"/>
      <c r="M24" s="260" t="n"/>
      <c r="N24" s="126" t="n"/>
      <c r="O24" s="259" t="n"/>
      <c r="P24" s="156" t="n"/>
    </row>
    <row r="25">
      <c r="C25" s="95" t="n">
        <v>46042</v>
      </c>
      <c r="D25" s="13" t="n"/>
      <c r="E25" s="259" t="n"/>
      <c r="F25" s="101" t="n"/>
      <c r="G25" s="259" t="n"/>
      <c r="H25" s="259" t="n"/>
      <c r="I25" s="159" t="n"/>
      <c r="J25" s="259" t="n"/>
      <c r="K25" s="260" t="n"/>
      <c r="L25" s="328" t="n"/>
      <c r="M25" s="244" t="n"/>
      <c r="N25" s="126" t="n"/>
      <c r="O25" s="259" t="n"/>
      <c r="P25" s="156" t="n"/>
    </row>
    <row r="26" ht="16.5" customHeight="1" thickBot="1">
      <c r="C26" s="95" t="n">
        <v>46043</v>
      </c>
      <c r="D26" s="13" t="n"/>
      <c r="E26" s="259" t="n"/>
      <c r="F26" s="101" t="n"/>
      <c r="G26" s="259" t="n"/>
      <c r="H26" s="259" t="n"/>
      <c r="I26" s="52" t="n"/>
      <c r="J26" s="259" t="n"/>
      <c r="K26" s="259" t="n"/>
      <c r="L26" s="329" t="n"/>
      <c r="M26" s="260" t="n"/>
      <c r="N26" s="259" t="n"/>
      <c r="O26" s="259" t="n"/>
      <c r="P26" s="156" t="n"/>
    </row>
    <row r="27">
      <c r="C27" s="95" t="n">
        <v>46044</v>
      </c>
      <c r="D27" s="13" t="n"/>
      <c r="E27" s="52" t="n"/>
      <c r="F27" s="101" t="n"/>
      <c r="G27" s="52" t="n"/>
      <c r="H27" s="52" t="n"/>
      <c r="I27" s="259" t="n"/>
      <c r="J27" s="259" t="n"/>
      <c r="K27" s="259" t="n"/>
      <c r="L27" s="329" t="n"/>
      <c r="M27" s="260" t="n"/>
      <c r="N27" s="126" t="n"/>
      <c r="O27" s="259" t="n"/>
      <c r="P27" s="156" t="n"/>
    </row>
    <row r="28" ht="15.75" customHeight="1" thickBot="1">
      <c r="C28" s="95" t="n">
        <v>46045</v>
      </c>
      <c r="D28" s="13" t="n"/>
      <c r="E28" s="259" t="n"/>
      <c r="F28" s="101" t="n"/>
      <c r="G28" s="259" t="n"/>
      <c r="H28" s="259" t="n"/>
      <c r="I28" s="51" t="n"/>
      <c r="J28" s="259" t="n"/>
      <c r="K28" s="260" t="n"/>
      <c r="L28" s="328" t="n"/>
      <c r="M28" s="260" t="n"/>
      <c r="N28" s="259" t="n"/>
      <c r="O28" s="127" t="n"/>
      <c r="P28" s="156" t="n"/>
    </row>
    <row r="29">
      <c r="C29" s="95" t="n">
        <v>46046</v>
      </c>
      <c r="D29" s="13" t="n"/>
      <c r="E29" s="52" t="n"/>
      <c r="F29" s="101" t="n"/>
      <c r="G29" s="52" t="n"/>
      <c r="H29" s="52" t="n"/>
      <c r="I29" s="51" t="n"/>
      <c r="J29" s="259" t="n"/>
      <c r="K29" s="260" t="n"/>
      <c r="L29" s="328" t="n"/>
      <c r="M29" s="260" t="n"/>
      <c r="N29" s="126" t="n"/>
      <c r="O29" s="127" t="n"/>
      <c r="P29" s="156" t="n"/>
    </row>
    <row r="30">
      <c r="C30" s="95" t="n">
        <v>46047</v>
      </c>
      <c r="D30" s="13" t="n"/>
      <c r="E30" s="259" t="n"/>
      <c r="F30" s="101" t="n"/>
      <c r="G30" s="259" t="n"/>
      <c r="H30" s="259" t="n"/>
      <c r="I30" s="259" t="n"/>
      <c r="J30" s="259" t="n"/>
      <c r="K30" s="259" t="n"/>
      <c r="L30" s="329" t="n"/>
      <c r="M30" s="105" t="n"/>
      <c r="N30" s="104" t="n"/>
      <c r="O30" s="104" t="n"/>
      <c r="P30" s="156" t="n"/>
    </row>
    <row r="31">
      <c r="C31" s="95" t="n">
        <v>46048</v>
      </c>
      <c r="D31" s="54" t="n"/>
      <c r="E31" s="58" t="n"/>
      <c r="F31" s="101" t="n"/>
      <c r="G31" s="58" t="n"/>
      <c r="H31" s="58" t="n"/>
      <c r="I31" s="259" t="n"/>
      <c r="J31" s="259" t="n"/>
      <c r="K31" s="259" t="n"/>
      <c r="L31" s="329" t="n"/>
      <c r="M31" s="105" t="n"/>
      <c r="N31" s="104" t="n"/>
      <c r="O31" s="104" t="n"/>
      <c r="P31" s="156" t="n"/>
    </row>
    <row r="32" ht="15.75" customHeight="1">
      <c r="C32" s="95" t="n">
        <v>46049</v>
      </c>
      <c r="D32" s="13" t="n"/>
      <c r="E32" s="259" t="n"/>
      <c r="F32" s="101" t="n"/>
      <c r="G32" s="259" t="n"/>
      <c r="H32" s="259" t="n"/>
      <c r="I32" s="159" t="n"/>
      <c r="J32" s="259" t="n"/>
      <c r="K32" s="259" t="n"/>
      <c r="L32" s="329" t="n"/>
      <c r="M32" s="260" t="n"/>
      <c r="N32" s="127" t="n"/>
      <c r="O32" s="128" t="n"/>
    </row>
    <row r="33" ht="15.75" customHeight="1">
      <c r="C33" s="95" t="n">
        <v>46050</v>
      </c>
      <c r="D33" s="13" t="n"/>
      <c r="E33" s="259" t="n"/>
      <c r="F33" s="101" t="n"/>
      <c r="G33" s="259" t="n"/>
      <c r="H33" s="259" t="n"/>
      <c r="I33" s="259" t="n"/>
      <c r="J33" s="259" t="n"/>
      <c r="K33" s="260" t="n"/>
      <c r="L33" s="328" t="n"/>
      <c r="M33" s="260" t="n"/>
      <c r="N33" s="259" t="n"/>
      <c r="O33" s="259" t="n"/>
    </row>
    <row r="34" ht="15.75" customHeight="1">
      <c r="C34" s="95" t="n">
        <v>46051</v>
      </c>
      <c r="D34" s="13" t="n"/>
      <c r="E34" s="259" t="n"/>
      <c r="F34" s="101" t="n"/>
      <c r="G34" s="259" t="n"/>
      <c r="H34" s="259" t="n"/>
      <c r="I34" s="259" t="n"/>
      <c r="J34" s="259" t="n"/>
      <c r="K34" s="259" t="n"/>
      <c r="L34" s="329" t="n"/>
      <c r="M34" s="105" t="n"/>
      <c r="N34" s="104" t="n"/>
      <c r="O34" s="101" t="n"/>
    </row>
    <row r="35">
      <c r="C35" s="95" t="n">
        <v>46052</v>
      </c>
      <c r="D35" s="54" t="n"/>
      <c r="E35" s="58" t="n"/>
      <c r="F35" s="101" t="n"/>
      <c r="G35" s="58" t="n"/>
      <c r="H35" s="58" t="n"/>
      <c r="I35" s="259" t="n"/>
      <c r="J35" s="259" t="n"/>
      <c r="K35" s="259" t="n"/>
      <c r="L35" s="329" t="n"/>
      <c r="M35" s="105" t="n"/>
      <c r="N35" s="104" t="n"/>
      <c r="O35" s="104" t="n"/>
    </row>
    <row r="36" ht="15.75" customHeight="1">
      <c r="C36" s="95" t="n">
        <v>46053</v>
      </c>
      <c r="D36" s="13" t="n"/>
      <c r="E36" s="58" t="n"/>
      <c r="F36" s="101" t="n"/>
      <c r="G36" s="58" t="n"/>
      <c r="H36" s="58" t="n"/>
      <c r="I36" s="58" t="n"/>
      <c r="J36" s="58" t="n"/>
      <c r="K36" s="259" t="n"/>
      <c r="L36" s="329" t="n"/>
      <c r="M36" s="259" t="n"/>
      <c r="N36" s="127" t="n"/>
      <c r="O36" s="127" t="n"/>
    </row>
    <row r="37">
      <c r="C37" s="95" t="n"/>
      <c r="D37" s="13" t="n"/>
      <c r="E37" s="259" t="n"/>
      <c r="F37" s="101" t="n"/>
      <c r="G37" s="259" t="n"/>
      <c r="H37" s="259" t="n"/>
      <c r="I37" s="259" t="n"/>
      <c r="J37" s="259" t="n"/>
      <c r="K37" s="260" t="n"/>
      <c r="L37" s="328" t="n"/>
      <c r="M37" s="260" t="n"/>
      <c r="N37" s="259" t="n"/>
      <c r="O37" s="259" t="n"/>
    </row>
    <row r="38">
      <c r="C38" s="95" t="n"/>
      <c r="D38" s="259" t="n"/>
      <c r="E38" s="58" t="n"/>
      <c r="F38" s="259" t="n"/>
      <c r="G38" s="58" t="n"/>
      <c r="H38" s="58" t="n"/>
      <c r="I38" s="58" t="n"/>
      <c r="J38" s="58" t="n"/>
      <c r="K38" s="259" t="n"/>
      <c r="L38" s="329" t="n"/>
      <c r="M38" s="58" t="n"/>
      <c r="N38" s="104" t="n"/>
      <c r="O38" s="104" t="n"/>
    </row>
    <row r="39" ht="15.75" customHeight="1" thickBot="1">
      <c r="C39" s="123" t="n"/>
      <c r="D39" s="93" t="n"/>
      <c r="E39" s="94" t="n"/>
      <c r="F39" s="94" t="n"/>
      <c r="G39" s="94" t="n"/>
      <c r="H39" s="93" t="n"/>
      <c r="I39" s="93" t="n"/>
      <c r="J39" s="115" t="n"/>
      <c r="K39" s="260" t="n"/>
      <c r="L39" s="328" t="n"/>
      <c r="M39" s="122" t="n"/>
      <c r="N39" s="122" t="n"/>
      <c r="O39" s="122" t="n"/>
    </row>
    <row r="40" ht="15.75" customHeight="1">
      <c r="C40" s="36" t="n"/>
    </row>
    <row r="41">
      <c r="C41" s="83" t="n"/>
    </row>
    <row r="42">
      <c r="C42" s="156" t="n"/>
    </row>
  </sheetData>
  <mergeCells count="41">
    <mergeCell ref="K16:L16"/>
    <mergeCell ref="K30:L30"/>
    <mergeCell ref="K25:L25"/>
    <mergeCell ref="K34:L34"/>
    <mergeCell ref="K24:L24"/>
    <mergeCell ref="K15:L15"/>
    <mergeCell ref="K33:L33"/>
    <mergeCell ref="K9:L9"/>
    <mergeCell ref="O4:O5"/>
    <mergeCell ref="K36:L36"/>
    <mergeCell ref="K26:L26"/>
    <mergeCell ref="K21:L21"/>
    <mergeCell ref="K29:L29"/>
    <mergeCell ref="K35:L35"/>
    <mergeCell ref="K11:L11"/>
    <mergeCell ref="K20:L20"/>
    <mergeCell ref="K4:L5"/>
    <mergeCell ref="K32:L32"/>
    <mergeCell ref="K31:L31"/>
    <mergeCell ref="K22:L22"/>
    <mergeCell ref="I3:J3"/>
    <mergeCell ref="K12:L12"/>
    <mergeCell ref="K8:L8"/>
    <mergeCell ref="K27:L27"/>
    <mergeCell ref="K23:L23"/>
    <mergeCell ref="K39:L39"/>
    <mergeCell ref="K14:L14"/>
    <mergeCell ref="K17:L17"/>
    <mergeCell ref="K7:L7"/>
    <mergeCell ref="I4:J4"/>
    <mergeCell ref="M4:M5"/>
    <mergeCell ref="K38:L38"/>
    <mergeCell ref="K10:L10"/>
    <mergeCell ref="K28:L28"/>
    <mergeCell ref="N4:N5"/>
    <mergeCell ref="K19:L19"/>
    <mergeCell ref="K37:L37"/>
    <mergeCell ref="E4:G4"/>
    <mergeCell ref="K6:L6"/>
    <mergeCell ref="K13:L13"/>
    <mergeCell ref="K18:L18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4:M37"/>
  <sheetViews>
    <sheetView workbookViewId="0">
      <selection activeCell="B6" sqref="B6:B35"/>
    </sheetView>
  </sheetViews>
  <sheetFormatPr baseColWidth="8" defaultRowHeight="15"/>
  <cols>
    <col width="8.5703125" bestFit="1" customWidth="1" min="4" max="4"/>
    <col width="8.7109375" bestFit="1" customWidth="1" min="6" max="6"/>
    <col width="13.140625" bestFit="1" customWidth="1" min="12" max="12"/>
    <col width="13.7109375" bestFit="1" customWidth="1" min="13" max="13"/>
  </cols>
  <sheetData>
    <row r="3" ht="15.75" customHeight="1" thickBot="1"/>
    <row r="4" ht="16.5" customHeight="1" thickBot="1">
      <c r="B4" s="17" t="n"/>
      <c r="C4" s="17" t="n"/>
      <c r="D4" s="23" t="inlineStr">
        <is>
          <t>PUTNICI</t>
        </is>
      </c>
      <c r="E4" s="323" t="n"/>
      <c r="F4" s="321" t="n"/>
      <c r="G4" s="99" t="n"/>
      <c r="H4" s="324" t="inlineStr">
        <is>
          <t>TERET (u tonama)</t>
        </is>
      </c>
      <c r="I4" s="313" t="n"/>
      <c r="J4" s="246" t="inlineStr">
        <is>
          <t>RUTA</t>
        </is>
      </c>
      <c r="K4" s="321" t="n"/>
      <c r="L4" s="246" t="inlineStr">
        <is>
          <t>KOMPANIJA</t>
        </is>
      </c>
      <c r="M4" s="246" t="inlineStr">
        <is>
          <t>TIP OPERACIJE</t>
        </is>
      </c>
    </row>
    <row r="5" ht="16.5" customHeight="1" thickBot="1">
      <c r="B5" s="39" t="inlineStr">
        <is>
          <t>Datum</t>
        </is>
      </c>
      <c r="C5" s="100" t="inlineStr">
        <is>
          <t>Br. Operacija</t>
        </is>
      </c>
      <c r="D5" s="102" t="inlineStr">
        <is>
          <t>Ukrcano</t>
        </is>
      </c>
      <c r="E5" s="102" t="inlineStr">
        <is>
          <t>INF</t>
        </is>
      </c>
      <c r="F5" s="102" t="inlineStr">
        <is>
          <t>Iskrcano</t>
        </is>
      </c>
      <c r="G5" s="36" t="inlineStr">
        <is>
          <t>INF</t>
        </is>
      </c>
      <c r="H5" s="36" t="inlineStr">
        <is>
          <t>Utovareno</t>
        </is>
      </c>
      <c r="I5" s="36" t="inlineStr">
        <is>
          <t>Istovareno</t>
        </is>
      </c>
      <c r="J5" s="325" t="n"/>
      <c r="K5" s="326" t="n"/>
      <c r="L5" s="327" t="n"/>
      <c r="M5" s="327" t="n"/>
    </row>
    <row r="6">
      <c r="B6" s="95" t="n">
        <v>46023</v>
      </c>
      <c r="C6" s="13" t="n"/>
      <c r="D6" s="259" t="n"/>
      <c r="E6" s="101" t="n"/>
      <c r="F6" s="259" t="n"/>
      <c r="G6" s="259" t="n"/>
      <c r="H6" s="51" t="n"/>
      <c r="I6" s="259" t="n"/>
      <c r="J6" s="260" t="n"/>
      <c r="K6" s="328" t="n"/>
      <c r="L6" s="260" t="n"/>
      <c r="M6" s="49" t="n"/>
    </row>
    <row r="7" ht="15.75" customHeight="1" thickBot="1">
      <c r="B7" s="95" t="n">
        <v>46024</v>
      </c>
      <c r="C7" s="13" t="n"/>
      <c r="D7" s="52" t="n"/>
      <c r="E7" s="101" t="n"/>
      <c r="F7" s="52" t="n"/>
      <c r="G7" s="52" t="n"/>
      <c r="H7" s="259" t="n"/>
      <c r="I7" s="259" t="n"/>
      <c r="J7" s="259" t="n"/>
      <c r="K7" s="329" t="n"/>
      <c r="L7" s="53" t="n"/>
      <c r="M7" s="83" t="n"/>
    </row>
    <row r="8" ht="15.75" customHeight="1" thickBot="1">
      <c r="B8" s="95" t="n">
        <v>46025</v>
      </c>
      <c r="C8" s="13" t="n"/>
      <c r="D8" s="259" t="n"/>
      <c r="E8" s="101" t="n"/>
      <c r="F8" s="259" t="n"/>
      <c r="G8" s="259" t="n"/>
      <c r="H8" s="51" t="n"/>
      <c r="I8" s="259" t="n"/>
      <c r="J8" s="260" t="n"/>
      <c r="K8" s="328" t="n"/>
      <c r="L8" s="260" t="n"/>
      <c r="M8" s="49" t="n"/>
    </row>
    <row r="9">
      <c r="B9" s="95" t="n">
        <v>46026</v>
      </c>
      <c r="C9" s="54" t="n"/>
      <c r="D9" s="58" t="n"/>
      <c r="E9" s="101" t="n"/>
      <c r="F9" s="58" t="n"/>
      <c r="G9" s="58" t="n"/>
      <c r="H9" s="58" t="n"/>
      <c r="I9" s="58" t="n"/>
      <c r="J9" s="260" t="n"/>
      <c r="K9" s="328" t="n"/>
      <c r="L9" s="260" t="n"/>
      <c r="M9" s="49" t="n"/>
    </row>
    <row r="10">
      <c r="B10" s="95" t="n">
        <v>46027</v>
      </c>
      <c r="C10" s="13" t="n"/>
      <c r="D10" s="58" t="n"/>
      <c r="E10" s="101" t="n"/>
      <c r="F10" s="58" t="n"/>
      <c r="G10" s="58" t="n"/>
      <c r="H10" s="58" t="n"/>
      <c r="I10" s="58" t="n"/>
      <c r="J10" s="259" t="n"/>
      <c r="K10" s="329" t="n"/>
      <c r="L10" s="259" t="n"/>
      <c r="M10" s="161" t="n"/>
    </row>
    <row r="11">
      <c r="B11" s="95" t="n">
        <v>46028</v>
      </c>
      <c r="C11" s="13" t="n"/>
      <c r="D11" s="58" t="n"/>
      <c r="E11" s="101" t="n"/>
      <c r="F11" s="58" t="n"/>
      <c r="G11" s="58" t="n"/>
      <c r="H11" s="58" t="n"/>
      <c r="I11" s="58" t="n"/>
      <c r="J11" s="259" t="n"/>
      <c r="K11" s="329" t="n"/>
      <c r="L11" s="259" t="n"/>
      <c r="M11" s="106" t="n"/>
    </row>
    <row r="12">
      <c r="B12" s="95" t="n">
        <v>46029</v>
      </c>
      <c r="C12" s="13" t="n"/>
      <c r="D12" s="259" t="n"/>
      <c r="E12" s="101" t="n"/>
      <c r="F12" s="259" t="n"/>
      <c r="G12" s="259" t="n"/>
      <c r="H12" s="259" t="n"/>
      <c r="I12" s="259" t="n"/>
      <c r="J12" s="259" t="n"/>
      <c r="K12" s="329" t="n"/>
      <c r="L12" s="105" t="n"/>
      <c r="M12" s="104" t="n"/>
    </row>
    <row r="13">
      <c r="B13" s="95" t="n">
        <v>46030</v>
      </c>
      <c r="C13" s="13" t="n"/>
      <c r="D13" s="259" t="n"/>
      <c r="E13" s="101" t="n"/>
      <c r="F13" s="259" t="n"/>
      <c r="G13" s="259" t="n"/>
      <c r="H13" s="259" t="n"/>
      <c r="I13" s="259" t="n"/>
      <c r="J13" s="259" t="n"/>
      <c r="K13" s="329" t="n"/>
      <c r="L13" s="260" t="n"/>
      <c r="M13" s="104" t="n"/>
    </row>
    <row r="14">
      <c r="B14" s="95" t="n">
        <v>46031</v>
      </c>
      <c r="C14" s="54" t="n"/>
      <c r="D14" s="58" t="n"/>
      <c r="E14" s="101" t="n"/>
      <c r="F14" s="58" t="n"/>
      <c r="G14" s="58" t="n"/>
      <c r="H14" s="59" t="n"/>
      <c r="I14" s="58" t="n"/>
      <c r="J14" s="260" t="n"/>
      <c r="K14" s="328" t="n"/>
      <c r="L14" s="240" t="n"/>
      <c r="M14" s="83" t="n"/>
    </row>
    <row r="15">
      <c r="B15" s="95" t="n">
        <v>46032</v>
      </c>
      <c r="C15" s="13" t="n"/>
      <c r="D15" s="259" t="n"/>
      <c r="E15" s="101" t="n"/>
      <c r="F15" s="259" t="n"/>
      <c r="G15" s="259" t="n"/>
      <c r="H15" s="259" t="n"/>
      <c r="I15" s="259" t="n"/>
      <c r="J15" s="259" t="n"/>
      <c r="K15" s="329" t="n"/>
      <c r="L15" s="260" t="n"/>
      <c r="M15" s="104" t="n"/>
    </row>
    <row r="16">
      <c r="B16" s="95" t="n">
        <v>46033</v>
      </c>
      <c r="C16" s="54" t="n"/>
      <c r="D16" s="58" t="n"/>
      <c r="E16" s="101" t="n"/>
      <c r="F16" s="58" t="n"/>
      <c r="G16" s="58" t="n"/>
      <c r="H16" s="59" t="n"/>
      <c r="I16" s="58" t="n"/>
      <c r="J16" s="259" t="n"/>
      <c r="K16" s="329" t="n"/>
      <c r="L16" s="105" t="n"/>
      <c r="M16" s="259" t="n"/>
    </row>
    <row r="17">
      <c r="B17" s="95" t="n">
        <v>46034</v>
      </c>
      <c r="C17" s="13" t="n"/>
      <c r="D17" s="259" t="n"/>
      <c r="E17" s="101" t="n"/>
      <c r="F17" s="259" t="n"/>
      <c r="G17" s="259" t="n"/>
      <c r="H17" s="52" t="n"/>
      <c r="I17" s="259" t="n"/>
      <c r="J17" s="259" t="n"/>
      <c r="K17" s="329" t="n"/>
      <c r="L17" s="240" t="n"/>
      <c r="M17" s="259" t="n"/>
    </row>
    <row r="18">
      <c r="B18" s="95" t="n">
        <v>46035</v>
      </c>
      <c r="C18" s="13" t="n"/>
      <c r="D18" s="259" t="n"/>
      <c r="E18" s="101" t="n"/>
      <c r="F18" s="259" t="n"/>
      <c r="G18" s="259" t="n"/>
      <c r="H18" s="52" t="n"/>
      <c r="I18" s="259" t="n"/>
      <c r="J18" s="259" t="n"/>
      <c r="K18" s="329" t="n"/>
      <c r="L18" s="240" t="n"/>
      <c r="M18" s="259" t="n"/>
    </row>
    <row r="19" ht="15.75" customHeight="1" thickBot="1">
      <c r="B19" s="95" t="n">
        <v>46036</v>
      </c>
      <c r="C19" s="61" t="n"/>
      <c r="D19" s="104" t="n"/>
      <c r="E19" s="101" t="n"/>
      <c r="F19" s="104" t="n"/>
      <c r="G19" s="104" t="n"/>
      <c r="H19" s="62" t="n"/>
      <c r="I19" s="104" t="n"/>
      <c r="J19" s="259" t="n"/>
      <c r="K19" s="329" t="n"/>
      <c r="L19" s="105" t="n"/>
      <c r="M19" s="259" t="n"/>
    </row>
    <row r="20">
      <c r="B20" s="95" t="n">
        <v>46037</v>
      </c>
      <c r="C20" s="61" t="n"/>
      <c r="D20" s="104" t="n"/>
      <c r="E20" s="101" t="n"/>
      <c r="F20" s="104" t="n"/>
      <c r="G20" s="104" t="n"/>
      <c r="H20" s="62" t="n"/>
      <c r="I20" s="104" t="n"/>
      <c r="J20" s="260" t="n"/>
      <c r="K20" s="328" t="n"/>
      <c r="L20" s="260" t="n"/>
      <c r="M20" s="49" t="n"/>
    </row>
    <row r="21">
      <c r="B21" s="95" t="n">
        <v>46038</v>
      </c>
      <c r="C21" s="13" t="n"/>
      <c r="D21" s="259" t="n"/>
      <c r="E21" s="101" t="n"/>
      <c r="F21" s="259" t="n"/>
      <c r="G21" s="259" t="n"/>
      <c r="H21" s="259" t="n"/>
      <c r="I21" s="259" t="n"/>
      <c r="J21" s="259" t="n"/>
      <c r="K21" s="329" t="n"/>
      <c r="L21" s="105" t="n"/>
      <c r="M21" s="259" t="n"/>
    </row>
    <row r="22">
      <c r="B22" s="95" t="n">
        <v>46039</v>
      </c>
      <c r="C22" s="13" t="n"/>
      <c r="D22" s="259" t="n"/>
      <c r="E22" s="101" t="n"/>
      <c r="F22" s="259" t="n"/>
      <c r="G22" s="259" t="n"/>
      <c r="H22" s="259" t="n"/>
      <c r="I22" s="259" t="n"/>
      <c r="J22" s="259" t="n"/>
      <c r="K22" s="329" t="n"/>
      <c r="L22" s="91" t="n"/>
      <c r="M22" s="161" t="n"/>
    </row>
    <row r="23">
      <c r="B23" s="95" t="n">
        <v>46040</v>
      </c>
      <c r="C23" s="13" t="n"/>
      <c r="D23" s="259" t="n"/>
      <c r="E23" s="101" t="n"/>
      <c r="F23" s="259" t="n"/>
      <c r="G23" s="259" t="n"/>
      <c r="H23" s="259" t="n"/>
      <c r="I23" s="259" t="n"/>
      <c r="J23" s="259" t="n"/>
      <c r="K23" s="329" t="n"/>
      <c r="L23" s="260" t="n"/>
      <c r="M23" s="161" t="n"/>
    </row>
    <row r="24">
      <c r="B24" s="95" t="n">
        <v>46041</v>
      </c>
      <c r="C24" s="13" t="n"/>
      <c r="D24" s="259" t="n"/>
      <c r="E24" s="101" t="n"/>
      <c r="F24" s="259" t="n"/>
      <c r="G24" s="259" t="n"/>
      <c r="H24" s="259" t="n"/>
      <c r="I24" s="259" t="n"/>
      <c r="J24" s="259" t="n"/>
      <c r="K24" s="329" t="n"/>
      <c r="L24" s="260" t="n"/>
      <c r="M24" s="161" t="n"/>
    </row>
    <row r="25" ht="15.75" customHeight="1" thickBot="1">
      <c r="B25" s="95" t="n">
        <v>46042</v>
      </c>
      <c r="C25" s="13" t="n"/>
      <c r="D25" s="52" t="n"/>
      <c r="E25" s="101" t="n"/>
      <c r="F25" s="52" t="n"/>
      <c r="G25" s="52" t="n"/>
      <c r="H25" s="259" t="n"/>
      <c r="I25" s="259" t="n"/>
      <c r="J25" s="259" t="n"/>
      <c r="K25" s="329" t="n"/>
      <c r="L25" s="105" t="n"/>
      <c r="M25" s="259" t="n"/>
    </row>
    <row r="26">
      <c r="B26" s="95" t="n">
        <v>46043</v>
      </c>
      <c r="C26" s="13" t="n"/>
      <c r="D26" s="259" t="n"/>
      <c r="E26" s="101" t="n"/>
      <c r="F26" s="259" t="n"/>
      <c r="G26" s="259" t="n"/>
      <c r="H26" s="51" t="n"/>
      <c r="I26" s="259" t="n"/>
      <c r="J26" s="260" t="n"/>
      <c r="K26" s="328" t="n"/>
      <c r="L26" s="260" t="n"/>
      <c r="M26" s="49" t="n"/>
    </row>
    <row r="27">
      <c r="B27" s="95" t="n">
        <v>46044</v>
      </c>
      <c r="C27" s="61" t="n"/>
      <c r="D27" s="104" t="n"/>
      <c r="E27" s="101" t="n"/>
      <c r="F27" s="104" t="n"/>
      <c r="G27" s="104" t="n"/>
      <c r="H27" s="62" t="n"/>
      <c r="I27" s="104" t="n"/>
      <c r="J27" s="259" t="n"/>
      <c r="K27" s="329" t="n"/>
      <c r="L27" s="105" t="n"/>
      <c r="M27" s="259" t="n"/>
    </row>
    <row r="28">
      <c r="B28" s="95" t="n">
        <v>46045</v>
      </c>
      <c r="C28" s="13" t="n"/>
      <c r="D28" s="259" t="n"/>
      <c r="E28" s="101" t="n"/>
      <c r="F28" s="259" t="n"/>
      <c r="G28" s="259" t="n"/>
      <c r="H28" s="259" t="n"/>
      <c r="I28" s="259" t="n"/>
      <c r="J28" s="259" t="n"/>
      <c r="K28" s="329" t="n"/>
      <c r="L28" s="91" t="n"/>
      <c r="M28" s="161" t="n"/>
    </row>
    <row r="29">
      <c r="B29" s="95" t="n">
        <v>46046</v>
      </c>
      <c r="C29" s="54" t="n"/>
      <c r="D29" s="58" t="n"/>
      <c r="E29" s="101" t="n"/>
      <c r="F29" s="58" t="n"/>
      <c r="G29" s="58" t="n"/>
      <c r="H29" s="259" t="n"/>
      <c r="I29" s="259" t="n"/>
      <c r="J29" s="260" t="n"/>
      <c r="K29" s="328" t="n"/>
      <c r="L29" s="240" t="n"/>
      <c r="M29" s="161" t="n"/>
    </row>
    <row r="30" ht="15.75" customHeight="1" thickBot="1">
      <c r="B30" s="95" t="n">
        <v>46047</v>
      </c>
      <c r="C30" s="54" t="n"/>
      <c r="D30" s="58" t="n"/>
      <c r="E30" s="101" t="n"/>
      <c r="F30" s="58" t="n"/>
      <c r="G30" s="58" t="n"/>
      <c r="H30" s="59" t="n"/>
      <c r="I30" s="58" t="n"/>
      <c r="J30" s="259" t="n"/>
      <c r="K30" s="329" t="n"/>
      <c r="L30" s="260" t="n"/>
      <c r="M30" s="60" t="n"/>
    </row>
    <row r="31" ht="15.75" customHeight="1" thickBot="1">
      <c r="B31" s="95" t="n">
        <v>46048</v>
      </c>
      <c r="C31" s="13" t="n"/>
      <c r="D31" s="259" t="n"/>
      <c r="E31" s="101" t="n"/>
      <c r="F31" s="259" t="n"/>
      <c r="G31" s="259" t="n"/>
      <c r="H31" s="259" t="n"/>
      <c r="I31" s="259" t="n"/>
      <c r="J31" s="260" t="n"/>
      <c r="K31" s="328" t="n"/>
      <c r="L31" s="260" t="n"/>
      <c r="M31" s="49" t="n"/>
    </row>
    <row r="32">
      <c r="B32" s="95" t="n">
        <v>46049</v>
      </c>
      <c r="C32" s="13" t="n"/>
      <c r="D32" s="259" t="n"/>
      <c r="E32" s="101" t="n"/>
      <c r="F32" s="259" t="n"/>
      <c r="G32" s="259" t="n"/>
      <c r="H32" s="259" t="n"/>
      <c r="I32" s="259" t="n"/>
      <c r="J32" s="260" t="n"/>
      <c r="K32" s="328" t="n"/>
      <c r="L32" s="260" t="n"/>
      <c r="M32" s="49" t="n"/>
    </row>
    <row r="33">
      <c r="B33" s="95" t="n">
        <v>46050</v>
      </c>
      <c r="C33" s="13" t="n"/>
      <c r="D33" s="58" t="n"/>
      <c r="E33" s="101" t="n"/>
      <c r="F33" s="58" t="n"/>
      <c r="G33" s="58" t="n"/>
      <c r="H33" s="58" t="n"/>
      <c r="I33" s="58" t="n"/>
      <c r="J33" s="259" t="n"/>
      <c r="K33" s="329" t="n"/>
      <c r="L33" s="259" t="n"/>
      <c r="M33" s="106" t="n"/>
    </row>
    <row r="34">
      <c r="B34" s="95" t="n">
        <v>46051</v>
      </c>
      <c r="C34" s="13" t="n"/>
      <c r="D34" s="58" t="n"/>
      <c r="E34" s="101" t="n"/>
      <c r="F34" s="58" t="n"/>
      <c r="G34" s="58" t="n"/>
      <c r="H34" s="58" t="n"/>
      <c r="I34" s="58" t="n"/>
      <c r="J34" s="244" t="n"/>
      <c r="K34" s="245" t="n"/>
      <c r="L34" s="259" t="n"/>
      <c r="M34" s="106" t="n"/>
    </row>
    <row r="35">
      <c r="B35" s="95" t="n">
        <v>46052</v>
      </c>
      <c r="C35" s="54" t="n"/>
      <c r="D35" s="58" t="n"/>
      <c r="E35" s="101" t="n"/>
      <c r="F35" s="58" t="n"/>
      <c r="G35" s="58" t="n"/>
      <c r="H35" s="259" t="n"/>
      <c r="I35" s="259" t="n"/>
      <c r="J35" s="128" t="n"/>
      <c r="K35" s="329" t="n"/>
      <c r="L35" s="104" t="n"/>
      <c r="M35" s="161" t="n"/>
    </row>
    <row r="36">
      <c r="B36" s="95" t="n">
        <v>46053</v>
      </c>
      <c r="C36" s="13" t="n"/>
      <c r="D36" s="58" t="n"/>
      <c r="E36" s="101" t="n"/>
      <c r="F36" s="58" t="n"/>
      <c r="G36" s="58" t="n"/>
      <c r="H36" s="58" t="n"/>
      <c r="I36" s="58" t="n"/>
      <c r="J36" s="259" t="n"/>
      <c r="K36" s="329" t="n"/>
      <c r="L36" s="58" t="n"/>
      <c r="M36" s="161" t="n"/>
    </row>
    <row r="37" ht="15.75" customHeight="1" thickBot="1">
      <c r="B37" s="95" t="n"/>
      <c r="C37" s="93">
        <f>SUM(C6:C36)</f>
        <v/>
      </c>
      <c r="D37" s="94">
        <f>SUM(D6:D36)</f>
        <v/>
      </c>
      <c r="E37" s="94">
        <f>SUM(E6:E36)</f>
        <v/>
      </c>
      <c r="F37" s="94">
        <f>SUM(F6:F36)</f>
        <v/>
      </c>
      <c r="G37" s="93">
        <f>SUM(G6:G36)</f>
        <v/>
      </c>
      <c r="H37" s="93">
        <f>SUM(H6:H36)</f>
        <v/>
      </c>
      <c r="I37" s="115">
        <f>SUM(I6:I36)</f>
        <v/>
      </c>
      <c r="J37" s="330" t="n"/>
      <c r="K37" s="331" t="n"/>
      <c r="L37" s="116" t="n"/>
      <c r="M37" s="116" t="n"/>
    </row>
  </sheetData>
  <mergeCells count="36">
    <mergeCell ref="J4:K5"/>
    <mergeCell ref="J29:K29"/>
    <mergeCell ref="J14:K14"/>
    <mergeCell ref="J10:K10"/>
    <mergeCell ref="J19:K19"/>
    <mergeCell ref="J37:K37"/>
    <mergeCell ref="J28:K28"/>
    <mergeCell ref="H4:I4"/>
    <mergeCell ref="J13:K13"/>
    <mergeCell ref="J9:K9"/>
    <mergeCell ref="J30:K30"/>
    <mergeCell ref="J6:K6"/>
    <mergeCell ref="J24:K24"/>
    <mergeCell ref="J15:K15"/>
    <mergeCell ref="D4:F4"/>
    <mergeCell ref="L4:L5"/>
    <mergeCell ref="J27:K27"/>
    <mergeCell ref="J36:K36"/>
    <mergeCell ref="J26:K26"/>
    <mergeCell ref="J35:K35"/>
    <mergeCell ref="J20:K20"/>
    <mergeCell ref="J11:K11"/>
    <mergeCell ref="J16:K16"/>
    <mergeCell ref="J32:K32"/>
    <mergeCell ref="J7:K7"/>
    <mergeCell ref="J25:K25"/>
    <mergeCell ref="J31:K31"/>
    <mergeCell ref="J22:K22"/>
    <mergeCell ref="J21:K21"/>
    <mergeCell ref="M4:M5"/>
    <mergeCell ref="J12:K12"/>
    <mergeCell ref="J18:K18"/>
    <mergeCell ref="J33:K33"/>
    <mergeCell ref="J23:K23"/>
    <mergeCell ref="J8:K8"/>
    <mergeCell ref="J17:K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4:L40"/>
  <sheetViews>
    <sheetView zoomScaleNormal="100" workbookViewId="0">
      <selection activeCell="C7" sqref="C7:C36"/>
    </sheetView>
  </sheetViews>
  <sheetFormatPr baseColWidth="8" defaultRowHeight="15"/>
  <cols>
    <col width="9.140625" customWidth="1" style="156" min="1" max="1"/>
    <col width="0.7109375" customWidth="1" style="156" min="2" max="2"/>
    <col width="16.85546875" customWidth="1" style="156" min="3" max="3"/>
    <col width="13.28515625" bestFit="1" customWidth="1" style="156" min="4" max="4"/>
    <col width="10.7109375" customWidth="1" style="77" min="5" max="6"/>
    <col width="10.7109375" customWidth="1" style="156" min="7" max="8"/>
    <col width="9.140625" customWidth="1" style="156" min="9" max="9"/>
    <col width="14.140625" customWidth="1" style="156" min="10" max="10"/>
    <col width="45.42578125" customWidth="1" style="77" min="11" max="11"/>
    <col width="13.7109375" bestFit="1" customWidth="1" style="83" min="12" max="12"/>
    <col width="9.140625" customWidth="1" style="156" min="13" max="16384"/>
  </cols>
  <sheetData>
    <row r="4" ht="15.75" customHeight="1" thickBot="1">
      <c r="G4" s="248" t="n"/>
      <c r="H4" s="156" t="n"/>
    </row>
    <row r="5" ht="16.5" customHeight="1" thickBot="1">
      <c r="C5" s="17" t="n"/>
      <c r="D5" s="17" t="n"/>
      <c r="E5" s="332" t="inlineStr">
        <is>
          <t>PUTNICI</t>
        </is>
      </c>
      <c r="F5" s="313" t="n"/>
      <c r="G5" s="324" t="inlineStr">
        <is>
          <t>TERET (u tonama)</t>
        </is>
      </c>
      <c r="H5" s="313" t="n"/>
      <c r="I5" s="332" t="inlineStr">
        <is>
          <t>RUTA</t>
        </is>
      </c>
      <c r="J5" s="321" t="n"/>
      <c r="K5" s="332" t="inlineStr">
        <is>
          <t>KOMPANIJA</t>
        </is>
      </c>
      <c r="L5" s="332" t="inlineStr">
        <is>
          <t>TIP OPERACIJE</t>
        </is>
      </c>
    </row>
    <row r="6" ht="16.5" customHeight="1" thickBot="1">
      <c r="C6" s="39" t="inlineStr">
        <is>
          <t>Datum</t>
        </is>
      </c>
      <c r="D6" s="39" t="inlineStr">
        <is>
          <t>Br. Operacija</t>
        </is>
      </c>
      <c r="E6" s="78" t="inlineStr">
        <is>
          <t>Ukrcano</t>
        </is>
      </c>
      <c r="F6" s="79" t="inlineStr">
        <is>
          <t>Iskrcano</t>
        </is>
      </c>
      <c r="G6" s="36" t="inlineStr">
        <is>
          <t>Utovareno</t>
        </is>
      </c>
      <c r="H6" s="36" t="inlineStr">
        <is>
          <t>Istovareno</t>
        </is>
      </c>
      <c r="I6" s="333" t="n"/>
      <c r="J6" s="334" t="n"/>
      <c r="K6" s="335" t="n"/>
      <c r="L6" s="335" t="n"/>
    </row>
    <row r="7" ht="15.75" customHeight="1">
      <c r="C7" s="95" t="n">
        <v>46023</v>
      </c>
      <c r="D7" s="278" t="n"/>
      <c r="E7" s="246" t="n"/>
      <c r="F7" s="246" t="n"/>
      <c r="G7" s="23" t="n"/>
      <c r="H7" s="23" t="n"/>
      <c r="I7" s="23" t="n"/>
      <c r="J7" s="321" t="n"/>
      <c r="K7" s="107" t="n"/>
      <c r="L7" s="26" t="n"/>
    </row>
    <row r="8">
      <c r="C8" s="95" t="n">
        <v>46024</v>
      </c>
      <c r="D8" s="272" t="n"/>
      <c r="E8" s="80" t="n"/>
      <c r="F8" s="80" t="n"/>
      <c r="G8" s="24" t="n"/>
      <c r="H8" s="24" t="n"/>
      <c r="I8" s="24" t="n"/>
      <c r="J8" s="326" t="n"/>
      <c r="K8" s="107" t="n"/>
      <c r="L8" s="26" t="n"/>
    </row>
    <row r="9">
      <c r="C9" s="95" t="n">
        <v>46025</v>
      </c>
      <c r="D9" s="272" t="n"/>
      <c r="E9" s="247" t="n"/>
      <c r="F9" s="247" t="n"/>
      <c r="G9" s="247" t="n"/>
      <c r="H9" s="247" t="n"/>
      <c r="I9" s="26" t="n"/>
      <c r="J9" s="336" t="n"/>
      <c r="K9" s="107" t="n"/>
      <c r="L9" s="26" t="n"/>
    </row>
    <row r="10">
      <c r="C10" s="95" t="n">
        <v>46026</v>
      </c>
      <c r="D10" s="272" t="n"/>
      <c r="E10" s="80" t="n"/>
      <c r="F10" s="80" t="n"/>
      <c r="G10" s="24" t="n"/>
      <c r="H10" s="24" t="n"/>
      <c r="I10" s="24" t="n"/>
      <c r="J10" s="326" t="n"/>
      <c r="K10" s="107" t="n"/>
      <c r="L10" s="26" t="n"/>
    </row>
    <row r="11" ht="15.75" customHeight="1">
      <c r="C11" s="95" t="n">
        <v>46027</v>
      </c>
      <c r="D11" s="272" t="n"/>
      <c r="E11" s="247" t="n"/>
      <c r="F11" s="247" t="n"/>
      <c r="G11" s="247" t="n"/>
      <c r="H11" s="247" t="n"/>
      <c r="I11" s="26" t="n"/>
      <c r="J11" s="336" t="n"/>
      <c r="K11" s="107" t="n"/>
      <c r="L11" s="26" t="n"/>
    </row>
    <row r="12" ht="15.75" customHeight="1">
      <c r="C12" s="95" t="n">
        <v>46028</v>
      </c>
      <c r="D12" s="272" t="n"/>
      <c r="E12" s="247" t="n"/>
      <c r="F12" s="247" t="n"/>
      <c r="G12" s="247" t="n"/>
      <c r="H12" s="247" t="n"/>
      <c r="I12" s="26" t="n"/>
      <c r="J12" s="336" t="n"/>
      <c r="K12" s="107" t="n"/>
      <c r="L12" s="26" t="n"/>
    </row>
    <row r="13">
      <c r="C13" s="95" t="n">
        <v>46029</v>
      </c>
      <c r="D13" s="272" t="n"/>
      <c r="E13" s="247" t="n"/>
      <c r="F13" s="247" t="n"/>
      <c r="G13" s="24" t="n"/>
      <c r="H13" s="26" t="n"/>
      <c r="I13" s="26" t="n"/>
      <c r="J13" s="336" t="n"/>
      <c r="K13" s="107" t="n"/>
      <c r="L13" s="26" t="n"/>
    </row>
    <row r="14">
      <c r="C14" s="95" t="n">
        <v>46030</v>
      </c>
      <c r="D14" s="272" t="n"/>
      <c r="E14" s="74" t="n"/>
      <c r="F14" s="247" t="n"/>
      <c r="G14" s="80" t="n"/>
      <c r="H14" s="247" t="n"/>
      <c r="I14" s="24" t="n"/>
      <c r="J14" s="326" t="n"/>
      <c r="K14" s="107" t="n"/>
      <c r="L14" s="26" t="n"/>
    </row>
    <row r="15">
      <c r="C15" s="95" t="n">
        <v>46031</v>
      </c>
      <c r="D15" s="272" t="n"/>
      <c r="E15" s="74" t="n"/>
      <c r="F15" s="247" t="n"/>
      <c r="G15" s="24" t="n"/>
      <c r="H15" s="24" t="n"/>
      <c r="I15" s="24" t="n"/>
      <c r="J15" s="326" t="n"/>
      <c r="K15" s="90" t="n"/>
      <c r="L15" s="24" t="n"/>
    </row>
    <row r="16">
      <c r="C16" s="95" t="n">
        <v>46032</v>
      </c>
      <c r="D16" s="272" t="n"/>
      <c r="E16" s="247" t="n"/>
      <c r="F16" s="247" t="n"/>
      <c r="G16" s="24" t="n"/>
      <c r="H16" s="26" t="n"/>
      <c r="I16" s="24" t="n"/>
      <c r="J16" s="326" t="n"/>
      <c r="K16" s="107" t="n"/>
      <c r="L16" s="24" t="n"/>
    </row>
    <row r="17">
      <c r="C17" s="95" t="n">
        <v>46033</v>
      </c>
      <c r="D17" s="272" t="n"/>
      <c r="E17" s="247" t="n"/>
      <c r="F17" s="74" t="n"/>
      <c r="G17" s="26" t="n"/>
      <c r="H17" s="26" t="n"/>
      <c r="I17" s="24" t="n"/>
      <c r="J17" s="326" t="n"/>
      <c r="K17" s="107" t="n"/>
      <c r="L17" s="24" t="n"/>
    </row>
    <row r="18">
      <c r="C18" s="95" t="n">
        <v>46034</v>
      </c>
      <c r="D18" s="272" t="n"/>
      <c r="E18" s="247" t="n"/>
      <c r="F18" s="74" t="n"/>
      <c r="G18" s="26" t="n"/>
      <c r="H18" s="26" t="n"/>
      <c r="I18" s="24" t="n"/>
      <c r="J18" s="326" t="n"/>
      <c r="K18" s="107" t="n"/>
      <c r="L18" s="26" t="n"/>
    </row>
    <row r="19">
      <c r="C19" s="95" t="n">
        <v>46035</v>
      </c>
      <c r="D19" s="272" t="n"/>
      <c r="E19" s="247" t="n"/>
      <c r="F19" s="74" t="n"/>
      <c r="G19" s="26" t="n"/>
      <c r="H19" s="26" t="n"/>
      <c r="I19" s="337" t="n"/>
      <c r="J19" s="326" t="n"/>
      <c r="K19" s="107" t="n"/>
      <c r="L19" s="26" t="n"/>
    </row>
    <row r="20" ht="16.5" customHeight="1">
      <c r="C20" s="95" t="n">
        <v>46036</v>
      </c>
      <c r="D20" s="272" t="n"/>
      <c r="E20" s="247" t="n"/>
      <c r="F20" s="74" t="n"/>
      <c r="G20" s="26" t="n"/>
      <c r="H20" s="26" t="n"/>
      <c r="I20" s="24" t="n"/>
      <c r="J20" s="326" t="n"/>
      <c r="K20" s="107" t="n"/>
      <c r="L20" s="26" t="n"/>
    </row>
    <row r="21">
      <c r="C21" s="95" t="n">
        <v>46037</v>
      </c>
      <c r="D21" s="272" t="n"/>
      <c r="E21" s="247" t="n"/>
      <c r="F21" s="74" t="n"/>
      <c r="G21" s="26" t="n"/>
      <c r="H21" s="26" t="n"/>
      <c r="I21" s="24" t="n"/>
      <c r="J21" s="326" t="n"/>
      <c r="K21" s="107" t="n"/>
      <c r="L21" s="26" t="n"/>
    </row>
    <row r="22">
      <c r="C22" s="95" t="n">
        <v>46038</v>
      </c>
      <c r="D22" s="272" t="n"/>
      <c r="E22" s="247" t="n"/>
      <c r="F22" s="74" t="n"/>
      <c r="G22" s="26" t="n"/>
      <c r="H22" s="26" t="n"/>
      <c r="I22" s="24" t="n"/>
      <c r="J22" s="326" t="n"/>
      <c r="K22" s="107" t="n"/>
      <c r="L22" s="26" t="n"/>
    </row>
    <row r="23">
      <c r="C23" s="95" t="n">
        <v>46039</v>
      </c>
      <c r="D23" s="272" t="n"/>
      <c r="E23" s="247" t="n"/>
      <c r="F23" s="74" t="n"/>
      <c r="G23" s="26" t="n"/>
      <c r="H23" s="26" t="n"/>
      <c r="I23" s="24" t="n"/>
      <c r="J23" s="326" t="n"/>
      <c r="K23" s="107" t="n"/>
      <c r="L23" s="26" t="n"/>
    </row>
    <row r="24" ht="15.75" customHeight="1">
      <c r="C24" s="95" t="n">
        <v>46040</v>
      </c>
      <c r="D24" s="272" t="n"/>
      <c r="E24" s="247" t="n"/>
      <c r="F24" s="74" t="n"/>
      <c r="G24" s="26" t="n"/>
      <c r="H24" s="26" t="n"/>
      <c r="I24" s="24" t="n"/>
      <c r="J24" s="326" t="n"/>
      <c r="K24" s="107" t="n"/>
      <c r="L24" s="26" t="n"/>
    </row>
    <row r="25" ht="15.75" customHeight="1">
      <c r="C25" s="95" t="n">
        <v>46041</v>
      </c>
      <c r="D25" s="272" t="n"/>
      <c r="E25" s="247" t="n"/>
      <c r="F25" s="74" t="n"/>
      <c r="G25" s="26" t="n"/>
      <c r="H25" s="26" t="n"/>
      <c r="I25" s="24" t="n"/>
      <c r="J25" s="326" t="n"/>
      <c r="K25" s="107" t="n"/>
      <c r="L25" s="26" t="n"/>
    </row>
    <row r="26" ht="15.75" customHeight="1">
      <c r="C26" s="95" t="n">
        <v>46042</v>
      </c>
      <c r="D26" s="272" t="n"/>
      <c r="E26" s="247" t="n"/>
      <c r="F26" s="74" t="n"/>
      <c r="G26" s="26" t="n"/>
      <c r="H26" s="26" t="n"/>
      <c r="I26" s="24" t="n"/>
      <c r="J26" s="326" t="n"/>
      <c r="K26" s="90" t="n"/>
      <c r="L26" s="26" t="n"/>
    </row>
    <row r="27">
      <c r="C27" s="95" t="n">
        <v>46043</v>
      </c>
      <c r="D27" s="272" t="n"/>
      <c r="E27" s="247" t="n"/>
      <c r="F27" s="74" t="n"/>
      <c r="G27" s="26" t="n"/>
      <c r="H27" s="26" t="n"/>
      <c r="I27" s="24" t="n"/>
      <c r="J27" s="326" t="n"/>
      <c r="K27" s="90" t="n"/>
      <c r="L27" s="26" t="n"/>
    </row>
    <row r="28" ht="15.75" customHeight="1">
      <c r="C28" s="95" t="n">
        <v>46044</v>
      </c>
      <c r="D28" s="272" t="n"/>
      <c r="E28" s="74" t="n"/>
      <c r="F28" s="247" t="n"/>
      <c r="G28" s="24" t="n"/>
      <c r="H28" s="24" t="n"/>
      <c r="I28" s="24" t="n"/>
      <c r="J28" s="326" t="n"/>
      <c r="K28" s="107" t="n"/>
      <c r="L28" s="24" t="n"/>
    </row>
    <row r="29" ht="15.75" customHeight="1">
      <c r="C29" s="95" t="n">
        <v>46045</v>
      </c>
      <c r="D29" s="272" t="n"/>
      <c r="E29" s="74" t="n"/>
      <c r="F29" s="247" t="n"/>
      <c r="G29" s="24" t="n"/>
      <c r="H29" s="24" t="n"/>
      <c r="I29" s="24" t="n"/>
      <c r="J29" s="326" t="n"/>
      <c r="K29" s="107" t="n"/>
      <c r="L29" s="24" t="n"/>
    </row>
    <row r="30">
      <c r="C30" s="95" t="n">
        <v>46046</v>
      </c>
      <c r="D30" s="272" t="n"/>
      <c r="E30" s="74" t="n"/>
      <c r="F30" s="247" t="n"/>
      <c r="G30" s="24" t="n"/>
      <c r="H30" s="24" t="n"/>
      <c r="I30" s="24" t="n"/>
      <c r="J30" s="326" t="n"/>
      <c r="K30" s="107" t="n"/>
      <c r="L30" s="24" t="n"/>
    </row>
    <row r="31">
      <c r="C31" s="95" t="n">
        <v>46047</v>
      </c>
      <c r="D31" s="272" t="n"/>
      <c r="E31" s="74" t="n"/>
      <c r="F31" s="247" t="n"/>
      <c r="G31" s="24" t="n"/>
      <c r="H31" s="24" t="n"/>
      <c r="I31" s="24" t="n"/>
      <c r="J31" s="326" t="n"/>
      <c r="K31" s="107" t="n"/>
      <c r="L31" s="24" t="n"/>
    </row>
    <row r="32">
      <c r="C32" s="95" t="n">
        <v>46048</v>
      </c>
      <c r="D32" s="272" t="n"/>
      <c r="E32" s="74" t="n"/>
      <c r="F32" s="247" t="n"/>
      <c r="G32" s="24" t="n"/>
      <c r="H32" s="24" t="n"/>
      <c r="I32" s="24" t="n"/>
      <c r="J32" s="326" t="n"/>
      <c r="K32" s="90" t="n"/>
      <c r="L32" s="24" t="n"/>
    </row>
    <row r="33">
      <c r="C33" s="95" t="n">
        <v>46049</v>
      </c>
      <c r="D33" s="272" t="n"/>
      <c r="E33" s="74" t="n"/>
      <c r="F33" s="247" t="n"/>
      <c r="G33" s="24" t="n"/>
      <c r="H33" s="24" t="n"/>
      <c r="I33" s="24" t="n"/>
      <c r="J33" s="326" t="n"/>
      <c r="K33" s="90" t="n"/>
      <c r="L33" s="24" t="n"/>
    </row>
    <row r="34">
      <c r="C34" s="95" t="n">
        <v>46050</v>
      </c>
      <c r="D34" s="272" t="n"/>
      <c r="E34" s="74" t="n"/>
      <c r="F34" s="247" t="n"/>
      <c r="G34" s="24" t="n"/>
      <c r="H34" s="24" t="n"/>
      <c r="I34" s="24" t="n"/>
      <c r="J34" s="326" t="n"/>
      <c r="K34" s="107" t="n"/>
      <c r="L34" s="24" t="n"/>
    </row>
    <row r="35" ht="15.75" customHeight="1">
      <c r="C35" s="95" t="n">
        <v>46051</v>
      </c>
      <c r="D35" s="258" t="n"/>
      <c r="E35" s="247" t="n"/>
      <c r="F35" s="247" t="n"/>
      <c r="G35" s="247" t="n"/>
      <c r="H35" s="247" t="n"/>
      <c r="I35" s="24" t="n"/>
      <c r="J35" s="326" t="n"/>
      <c r="K35" s="107" t="n"/>
      <c r="L35" s="24" t="n"/>
    </row>
    <row r="36" ht="15.75" customHeight="1">
      <c r="C36" s="95" t="n">
        <v>46052</v>
      </c>
      <c r="D36" s="258" t="n"/>
      <c r="E36" s="247" t="n"/>
      <c r="F36" s="247" t="n"/>
      <c r="G36" s="247" t="n"/>
      <c r="H36" s="247" t="n"/>
      <c r="I36" s="24" t="n"/>
      <c r="J36" s="326" t="n"/>
      <c r="K36" s="107" t="n"/>
      <c r="L36" s="24" t="n"/>
    </row>
    <row r="37" ht="15.75" customHeight="1" thickBot="1">
      <c r="C37" s="95" t="n">
        <v>46053</v>
      </c>
      <c r="D37" s="272" t="n"/>
      <c r="E37" s="247" t="n"/>
      <c r="F37" s="247" t="n"/>
      <c r="G37" s="24" t="n"/>
      <c r="H37" s="284" t="n"/>
      <c r="I37" s="84" t="n"/>
      <c r="J37" s="334" t="n"/>
      <c r="K37" s="284" t="n"/>
      <c r="L37" s="84" t="n"/>
    </row>
    <row r="38" ht="16.5" customHeight="1" thickBot="1">
      <c r="C38" s="36" t="n"/>
      <c r="D38" s="16">
        <f>SUM(D7:D36)</f>
        <v/>
      </c>
      <c r="E38" s="81">
        <f>SUM(E7:E36)</f>
        <v/>
      </c>
      <c r="F38" s="82">
        <f>SUM(F7:F36)</f>
        <v/>
      </c>
      <c r="G38" s="16">
        <f>SUM(G7:G36)</f>
        <v/>
      </c>
      <c r="H38" s="16">
        <f>SUM(H7:H36)</f>
        <v/>
      </c>
      <c r="I38" s="156" t="n"/>
      <c r="J38" s="156" t="n"/>
      <c r="K38" s="77" t="n"/>
    </row>
    <row r="39">
      <c r="C39" s="83" t="n"/>
    </row>
    <row r="40">
      <c r="C40" s="156" t="n"/>
    </row>
  </sheetData>
  <mergeCells count="37">
    <mergeCell ref="I30:J30"/>
    <mergeCell ref="I34:J34"/>
    <mergeCell ref="I15:J15"/>
    <mergeCell ref="I11:J11"/>
    <mergeCell ref="E5:F5"/>
    <mergeCell ref="I27:J27"/>
    <mergeCell ref="I5:J6"/>
    <mergeCell ref="I36:J36"/>
    <mergeCell ref="I26:J26"/>
    <mergeCell ref="L5:L6"/>
    <mergeCell ref="I16:J16"/>
    <mergeCell ref="I32:J32"/>
    <mergeCell ref="I7:J7"/>
    <mergeCell ref="I25:J25"/>
    <mergeCell ref="I37:J37"/>
    <mergeCell ref="I22:J22"/>
    <mergeCell ref="I28:J28"/>
    <mergeCell ref="I18:J18"/>
    <mergeCell ref="I21:J21"/>
    <mergeCell ref="I12:J12"/>
    <mergeCell ref="I24:J24"/>
    <mergeCell ref="I33:J33"/>
    <mergeCell ref="G5:H5"/>
    <mergeCell ref="I23:J23"/>
    <mergeCell ref="I14:J14"/>
    <mergeCell ref="I8:J8"/>
    <mergeCell ref="I17:J17"/>
    <mergeCell ref="G4:H4"/>
    <mergeCell ref="I29:J29"/>
    <mergeCell ref="I35:J35"/>
    <mergeCell ref="K5:K6"/>
    <mergeCell ref="I20:J20"/>
    <mergeCell ref="I10:J10"/>
    <mergeCell ref="I19:J19"/>
    <mergeCell ref="I13:J13"/>
    <mergeCell ref="I31:J31"/>
    <mergeCell ref="I9:J9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37"/>
  <sheetViews>
    <sheetView zoomScale="90" zoomScaleNormal="90" zoomScaleSheetLayoutView="80" workbookViewId="0">
      <selection activeCell="M21" sqref="M21"/>
    </sheetView>
  </sheetViews>
  <sheetFormatPr baseColWidth="8" defaultColWidth="9.140625" defaultRowHeight="15"/>
  <cols>
    <col width="9.140625" customWidth="1" style="137" min="1" max="16384"/>
  </cols>
  <sheetData>
    <row r="1">
      <c r="K1" s="137" t="n"/>
    </row>
    <row r="2">
      <c r="K2" s="137" t="n"/>
    </row>
    <row r="3">
      <c r="K3" s="137" t="n"/>
    </row>
    <row r="9" ht="15" customHeight="1">
      <c r="B9" s="285" t="inlineStr">
        <is>
          <t>Izvještaj o broju odlazećih putnika WIZZAIR                          za mjesec JANUAR 2026. godine</t>
        </is>
      </c>
    </row>
    <row r="10" ht="15" customHeight="1"/>
    <row r="11" ht="15" customHeight="1"/>
    <row r="14">
      <c r="B14" s="286" t="n"/>
      <c r="C14" s="286" t="inlineStr">
        <is>
          <t>Destinacija</t>
        </is>
      </c>
      <c r="F14" s="286" t="inlineStr">
        <is>
          <t>Broj letova</t>
        </is>
      </c>
      <c r="H14" s="286" t="inlineStr">
        <is>
          <t>Broj putnika</t>
        </is>
      </c>
    </row>
    <row r="15" ht="11.25" customHeight="1">
      <c r="B15" s="286" t="n"/>
      <c r="C15" s="286" t="n"/>
      <c r="D15" s="286" t="n"/>
      <c r="E15" s="286" t="n"/>
      <c r="F15" s="286" t="n"/>
      <c r="G15" s="286" t="n"/>
      <c r="H15" s="286" t="n"/>
      <c r="I15" s="286" t="n"/>
    </row>
    <row r="16">
      <c r="B16" s="287" t="inlineStr">
        <is>
          <t>WIZZ AIR HUNGARY LTD</t>
        </is>
      </c>
      <c r="C16" s="338" t="n"/>
      <c r="D16" s="338" t="n"/>
      <c r="E16" s="338" t="n"/>
      <c r="F16" s="338" t="n"/>
      <c r="G16" s="338" t="n"/>
      <c r="H16" s="338" t="n"/>
      <c r="I16" s="338" t="n"/>
    </row>
    <row r="17" ht="18" customHeight="1">
      <c r="B17" s="292" t="n"/>
      <c r="C17" s="292" t="n"/>
      <c r="D17" s="339" t="n"/>
      <c r="E17" s="328" t="n"/>
      <c r="F17" s="292" t="n"/>
      <c r="G17" s="328" t="n"/>
      <c r="H17" s="292" t="n"/>
      <c r="I17" s="328" t="n"/>
    </row>
    <row r="18" ht="18" customHeight="1">
      <c r="B18" s="88" t="n"/>
      <c r="C18" s="292" t="n"/>
      <c r="D18" s="339" t="n"/>
      <c r="E18" s="328" t="n"/>
      <c r="F18" s="295" t="n"/>
      <c r="G18" s="328" t="n"/>
      <c r="H18" s="295" t="n"/>
      <c r="I18" s="328" t="n"/>
    </row>
    <row r="19" ht="18" customHeight="1">
      <c r="B19" s="88" t="n"/>
      <c r="C19" s="292" t="n"/>
      <c r="D19" s="339" t="n"/>
      <c r="E19" s="328" t="n"/>
      <c r="F19" s="295" t="n"/>
      <c r="G19" s="328" t="n"/>
      <c r="H19" s="295" t="n"/>
      <c r="I19" s="328" t="n"/>
    </row>
    <row r="20" ht="18" customHeight="1">
      <c r="B20" s="129" t="n"/>
      <c r="C20" s="298" t="n"/>
      <c r="D20" s="298" t="n"/>
      <c r="E20" s="298" t="n"/>
      <c r="F20" s="296" t="n">
        <v>0</v>
      </c>
      <c r="G20" s="340" t="n"/>
      <c r="H20" s="296" t="n">
        <v>0</v>
      </c>
      <c r="I20" s="340" t="n"/>
    </row>
    <row r="21" ht="18.75" customHeight="1">
      <c r="B21" s="298" t="n"/>
      <c r="C21" s="298" t="n"/>
      <c r="D21" s="298" t="n"/>
      <c r="E21" s="298" t="n"/>
      <c r="F21" s="298" t="n"/>
      <c r="G21" s="298" t="n"/>
      <c r="H21" s="298" t="n"/>
      <c r="I21" s="298" t="n"/>
    </row>
    <row r="22" ht="18" customHeight="1">
      <c r="B22" s="287" t="inlineStr">
        <is>
          <t>WIZZ AIR MALTA</t>
        </is>
      </c>
      <c r="C22" s="338" t="n"/>
      <c r="D22" s="338" t="n"/>
      <c r="E22" s="338" t="n"/>
      <c r="F22" s="338" t="n"/>
      <c r="G22" s="338" t="n"/>
      <c r="H22" s="338" t="n"/>
      <c r="I22" s="338" t="n"/>
    </row>
    <row r="23" ht="18" customHeight="1">
      <c r="B23" s="292" t="n"/>
      <c r="C23" s="292" t="n"/>
      <c r="D23" s="339" t="n"/>
      <c r="E23" s="328" t="n"/>
      <c r="F23" s="292" t="n"/>
      <c r="G23" s="328" t="n"/>
      <c r="H23" s="292" t="n"/>
      <c r="I23" s="328" t="n"/>
    </row>
    <row r="24" ht="18" customHeight="1">
      <c r="B24" s="88" t="n"/>
      <c r="C24" s="292" t="n"/>
      <c r="D24" s="339" t="n"/>
      <c r="E24" s="328" t="n"/>
      <c r="F24" s="292" t="n"/>
      <c r="G24" s="328" t="n"/>
      <c r="H24" s="292" t="n"/>
      <c r="I24" s="328" t="n"/>
    </row>
    <row r="25" ht="18" customHeight="1">
      <c r="B25" s="292" t="n"/>
      <c r="C25" s="292" t="n"/>
      <c r="D25" s="339" t="n"/>
      <c r="E25" s="328" t="n"/>
      <c r="F25" s="292" t="n"/>
      <c r="G25" s="328" t="n"/>
      <c r="H25" s="292" t="n"/>
      <c r="I25" s="328" t="n"/>
    </row>
    <row r="26">
      <c r="C26" s="293" t="n"/>
      <c r="D26" s="340" t="n"/>
      <c r="E26" s="340" t="n"/>
      <c r="F26" s="294" t="n">
        <v>0</v>
      </c>
      <c r="G26" s="340" t="n"/>
      <c r="H26" s="294" t="n">
        <v>0</v>
      </c>
      <c r="I26" s="340" t="n"/>
    </row>
    <row r="27" ht="18" customHeight="1">
      <c r="C27" s="286" t="n"/>
      <c r="F27" s="286" t="n"/>
      <c r="H27" s="289" t="n"/>
    </row>
    <row r="28">
      <c r="C28" s="290" t="inlineStr">
        <is>
          <t>UKUPNO:</t>
        </is>
      </c>
      <c r="F28" s="291" t="n">
        <v>0</v>
      </c>
      <c r="G28" s="328" t="n"/>
      <c r="H28" s="291" t="n">
        <v>0</v>
      </c>
      <c r="I28" s="328" t="n"/>
    </row>
    <row r="34">
      <c r="B34" s="298" t="inlineStr">
        <is>
          <t>Izvještaj pripremio:</t>
        </is>
      </c>
    </row>
    <row r="35">
      <c r="B35" s="298" t="n"/>
      <c r="C35" s="298" t="n"/>
      <c r="D35" s="298" t="n"/>
    </row>
    <row r="36">
      <c r="B36" s="298" t="n"/>
    </row>
    <row r="37">
      <c r="B37" s="137" t="inlineStr">
        <is>
          <t>Operativni centar JP "MAT" d.o.o.</t>
        </is>
      </c>
    </row>
  </sheetData>
  <mergeCells count="37">
    <mergeCell ref="H20:I20"/>
    <mergeCell ref="B16:I16"/>
    <mergeCell ref="F25:G25"/>
    <mergeCell ref="F19:G19"/>
    <mergeCell ref="B22:I22"/>
    <mergeCell ref="B34:D34"/>
    <mergeCell ref="H25:I25"/>
    <mergeCell ref="F24:G24"/>
    <mergeCell ref="C27:E27"/>
    <mergeCell ref="C23:E23"/>
    <mergeCell ref="F20:G20"/>
    <mergeCell ref="F18:G18"/>
    <mergeCell ref="C17:E17"/>
    <mergeCell ref="F26:G26"/>
    <mergeCell ref="F17:G17"/>
    <mergeCell ref="H17:I17"/>
    <mergeCell ref="B36:D36"/>
    <mergeCell ref="C28:E28"/>
    <mergeCell ref="C19:E19"/>
    <mergeCell ref="B9:I11"/>
    <mergeCell ref="F23:G23"/>
    <mergeCell ref="C18:E18"/>
    <mergeCell ref="H19:I19"/>
    <mergeCell ref="F28:G28"/>
    <mergeCell ref="H28:I28"/>
    <mergeCell ref="F27:G27"/>
    <mergeCell ref="H27:I27"/>
    <mergeCell ref="C24:E24"/>
    <mergeCell ref="C14:E14"/>
    <mergeCell ref="H24:I24"/>
    <mergeCell ref="H18:I18"/>
    <mergeCell ref="C26:E26"/>
    <mergeCell ref="H23:I23"/>
    <mergeCell ref="F14:G14"/>
    <mergeCell ref="H14:I14"/>
    <mergeCell ref="C25:E25"/>
    <mergeCell ref="H26:I26"/>
  </mergeCells>
  <pageMargins left="0.7" right="0.354166666666666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40"/>
  <sheetViews>
    <sheetView zoomScale="90" zoomScaleNormal="90" zoomScaleSheetLayoutView="80" workbookViewId="0">
      <selection activeCell="M15" sqref="M15"/>
    </sheetView>
  </sheetViews>
  <sheetFormatPr baseColWidth="8" defaultColWidth="9.140625" defaultRowHeight="15"/>
  <cols>
    <col width="9.140625" customWidth="1" style="137" min="1" max="16384"/>
  </cols>
  <sheetData>
    <row r="1">
      <c r="K1" s="137" t="n"/>
    </row>
    <row r="2">
      <c r="K2" s="137" t="n"/>
    </row>
    <row r="3">
      <c r="K3" s="137" t="n"/>
    </row>
    <row r="9">
      <c r="C9" s="297" t="inlineStr">
        <is>
          <t>PEGASUS AIRLINES</t>
        </is>
      </c>
    </row>
    <row r="10"/>
    <row r="14" ht="15" customHeight="1">
      <c r="B14" s="285" t="inlineStr">
        <is>
          <t>Izvještaj o broju odlazećih putnika za mjesec JANUAR 2026. godine</t>
        </is>
      </c>
    </row>
    <row r="15" ht="15" customHeight="1"/>
    <row r="16" ht="15" customHeight="1"/>
    <row r="20">
      <c r="B20" s="286" t="n"/>
      <c r="C20" s="286" t="inlineStr">
        <is>
          <t>Destinacija</t>
        </is>
      </c>
      <c r="F20" s="286" t="inlineStr">
        <is>
          <t>Broj letova</t>
        </is>
      </c>
      <c r="H20" s="286" t="inlineStr">
        <is>
          <t>Broj putnika</t>
        </is>
      </c>
    </row>
    <row r="21" ht="11.25" customHeight="1">
      <c r="B21" s="286" t="n"/>
      <c r="C21" s="286" t="n"/>
      <c r="D21" s="286" t="n"/>
      <c r="E21" s="286" t="n"/>
      <c r="F21" s="286" t="n"/>
      <c r="G21" s="286" t="n"/>
      <c r="H21" s="286" t="n"/>
      <c r="I21" s="286" t="n"/>
    </row>
    <row r="22">
      <c r="B22" s="287" t="n"/>
      <c r="C22" s="338" t="n"/>
      <c r="D22" s="338" t="n"/>
      <c r="E22" s="338" t="n"/>
      <c r="F22" s="338" t="n"/>
      <c r="G22" s="338" t="n"/>
      <c r="H22" s="338" t="n"/>
      <c r="I22" s="338" t="n"/>
    </row>
    <row r="23" ht="18" customHeight="1">
      <c r="B23" s="292" t="n"/>
      <c r="C23" s="292" t="n"/>
      <c r="D23" s="339" t="n"/>
      <c r="E23" s="328" t="n"/>
      <c r="F23" s="292" t="n"/>
      <c r="G23" s="328" t="n"/>
      <c r="H23" s="292" t="n"/>
      <c r="I23" s="328" t="n"/>
    </row>
    <row r="24" ht="18" customHeight="1">
      <c r="B24" s="298" t="n"/>
      <c r="C24" s="298" t="n"/>
      <c r="D24" s="298" t="n"/>
      <c r="E24" s="298" t="n"/>
      <c r="F24" s="139" t="n"/>
      <c r="G24" s="139" t="n"/>
      <c r="H24" s="139" t="n"/>
      <c r="I24" s="139" t="n"/>
    </row>
    <row r="25" ht="18" customHeight="1">
      <c r="B25" s="129" t="n"/>
      <c r="C25" s="299" t="n"/>
      <c r="E25" s="341" t="n"/>
      <c r="F25" s="342" t="n"/>
      <c r="G25" s="328" t="n"/>
      <c r="H25" s="342" t="n"/>
      <c r="I25" s="328" t="n"/>
    </row>
    <row r="26" ht="18" customHeight="1">
      <c r="B26" s="129" t="n"/>
      <c r="C26" s="298" t="n"/>
      <c r="D26" s="298" t="n"/>
      <c r="E26" s="298" t="n"/>
      <c r="F26" s="138" t="n"/>
      <c r="G26" s="138" t="n"/>
      <c r="H26" s="138" t="n"/>
      <c r="I26" s="138" t="n"/>
    </row>
    <row r="27" ht="18" customHeight="1">
      <c r="B27" s="129" t="n"/>
      <c r="C27" s="298" t="n"/>
      <c r="D27" s="298" t="n"/>
      <c r="E27" s="298" t="n"/>
      <c r="F27" s="138" t="n"/>
      <c r="G27" s="138" t="n"/>
      <c r="H27" s="138" t="n"/>
      <c r="I27" s="138" t="n"/>
    </row>
    <row r="28" ht="18" customHeight="1">
      <c r="B28" s="129" t="n"/>
      <c r="C28" s="298" t="n"/>
      <c r="D28" s="298" t="n"/>
      <c r="E28" s="298" t="n"/>
      <c r="F28" s="138" t="n"/>
      <c r="G28" s="138" t="n"/>
      <c r="H28" s="138" t="n"/>
      <c r="I28" s="138" t="n"/>
    </row>
    <row r="29" ht="18" customHeight="1">
      <c r="B29" s="129" t="n"/>
      <c r="C29" s="298" t="n"/>
      <c r="D29" s="298" t="n"/>
      <c r="E29" s="298" t="n"/>
      <c r="F29" s="138" t="n"/>
      <c r="G29" s="138" t="n"/>
      <c r="H29" s="138" t="n"/>
      <c r="I29" s="138" t="n"/>
    </row>
    <row r="30" ht="18" customHeight="1">
      <c r="B30" s="129" t="n"/>
      <c r="C30" s="298" t="n"/>
      <c r="D30" s="298" t="n"/>
      <c r="E30" s="298" t="n"/>
      <c r="F30" s="138" t="n"/>
      <c r="G30" s="138" t="n"/>
      <c r="H30" s="138" t="n"/>
      <c r="I30" s="138" t="n"/>
    </row>
    <row r="31" ht="18.75" customHeight="1">
      <c r="B31" s="298" t="n"/>
      <c r="C31" s="298" t="n"/>
      <c r="D31" s="298" t="n"/>
      <c r="E31" s="298" t="n"/>
      <c r="F31" s="298" t="n"/>
      <c r="G31" s="298" t="n"/>
      <c r="H31" s="298" t="n"/>
      <c r="I31" s="298" t="n"/>
    </row>
    <row r="37">
      <c r="B37" s="298" t="inlineStr">
        <is>
          <t>Izvještaj pripremio:</t>
        </is>
      </c>
    </row>
    <row r="38">
      <c r="B38" s="298" t="n"/>
      <c r="C38" s="298" t="n"/>
      <c r="D38" s="298" t="n"/>
    </row>
    <row r="39">
      <c r="B39" s="298" t="n"/>
    </row>
    <row r="40">
      <c r="B40" s="137" t="inlineStr">
        <is>
          <t>Operativni centar JP "MAT" d.o.o.</t>
        </is>
      </c>
    </row>
  </sheetData>
  <mergeCells count="14">
    <mergeCell ref="H25:I25"/>
    <mergeCell ref="B37:D37"/>
    <mergeCell ref="H20:I20"/>
    <mergeCell ref="C23:E23"/>
    <mergeCell ref="F25:G25"/>
    <mergeCell ref="F23:G23"/>
    <mergeCell ref="F20:G20"/>
    <mergeCell ref="C9:H10"/>
    <mergeCell ref="B14:I16"/>
    <mergeCell ref="B22:I22"/>
    <mergeCell ref="H23:I23"/>
    <mergeCell ref="B39:D39"/>
    <mergeCell ref="C20:E20"/>
    <mergeCell ref="C25:E25"/>
  </mergeCells>
  <pageMargins left="0.7" right="0.354166666666666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7:T40"/>
  <sheetViews>
    <sheetView workbookViewId="0">
      <selection activeCell="X13" sqref="X13"/>
    </sheetView>
  </sheetViews>
  <sheetFormatPr baseColWidth="8" defaultRowHeight="15"/>
  <sheetData>
    <row r="7">
      <c r="A7" s="137" t="n"/>
      <c r="B7" s="137" t="n"/>
      <c r="C7" s="137" t="n"/>
      <c r="D7" s="137" t="n"/>
      <c r="E7" s="137" t="n"/>
      <c r="F7" s="137" t="n"/>
      <c r="G7" s="137" t="n"/>
      <c r="H7" s="137" t="n"/>
      <c r="I7" s="137" t="n"/>
      <c r="J7" s="137" t="n"/>
      <c r="K7" s="137" t="n"/>
    </row>
    <row r="8">
      <c r="A8" s="137" t="n"/>
      <c r="B8" s="137" t="n"/>
      <c r="C8" s="137" t="n"/>
      <c r="D8" s="137" t="n"/>
      <c r="E8" s="137" t="n"/>
      <c r="F8" s="137" t="n"/>
      <c r="G8" s="137" t="n"/>
      <c r="H8" s="137" t="n"/>
      <c r="I8" s="137" t="n"/>
      <c r="J8" s="137" t="n"/>
      <c r="K8" s="137" t="n"/>
    </row>
    <row r="9">
      <c r="A9" s="137" t="n"/>
      <c r="B9" s="137" t="n"/>
      <c r="C9" s="297" t="inlineStr">
        <is>
          <t>RYANAIR AIRLINES</t>
        </is>
      </c>
      <c r="I9" s="137" t="n"/>
      <c r="J9" s="137" t="n"/>
      <c r="K9" s="137" t="n"/>
    </row>
    <row r="10">
      <c r="A10" s="137" t="n"/>
      <c r="B10" s="137" t="n"/>
      <c r="I10" s="137" t="n"/>
      <c r="J10" s="137" t="n"/>
      <c r="K10" s="137" t="n"/>
    </row>
    <row r="11">
      <c r="A11" s="137" t="n"/>
      <c r="B11" s="137" t="n"/>
      <c r="C11" s="137" t="n"/>
      <c r="D11" s="137" t="n"/>
      <c r="E11" s="137" t="n"/>
      <c r="F11" s="137" t="n"/>
      <c r="G11" s="137" t="n"/>
      <c r="H11" s="137" t="n"/>
      <c r="I11" s="137" t="n"/>
      <c r="J11" s="137" t="n"/>
      <c r="K11" s="137" t="n"/>
    </row>
    <row r="12">
      <c r="A12" s="137" t="n"/>
      <c r="B12" s="137" t="n"/>
      <c r="C12" s="137" t="n"/>
      <c r="D12" s="137" t="n"/>
      <c r="E12" s="137" t="n"/>
      <c r="F12" s="137" t="n"/>
      <c r="G12" s="137" t="n"/>
      <c r="H12" s="137" t="n"/>
      <c r="I12" s="137" t="n"/>
      <c r="J12" s="137" t="n"/>
      <c r="K12" s="137" t="n"/>
    </row>
    <row r="13">
      <c r="A13" s="137" t="n"/>
      <c r="B13" s="137" t="n"/>
      <c r="C13" s="137" t="n"/>
      <c r="D13" s="137" t="n"/>
      <c r="E13" s="137" t="n"/>
      <c r="F13" s="137" t="n"/>
      <c r="G13" s="137" t="n"/>
      <c r="H13" s="137" t="n"/>
      <c r="I13" s="137" t="n"/>
      <c r="J13" s="137" t="n"/>
      <c r="K13" s="137" t="n"/>
    </row>
    <row r="14">
      <c r="A14" s="137" t="n"/>
      <c r="B14" s="285" t="inlineStr">
        <is>
          <t>Izvještaj o broju odlazećih putnika za mjesec JANUAR 2026. godine</t>
        </is>
      </c>
      <c r="J14" s="137" t="n"/>
      <c r="K14" s="137" t="n"/>
      <c r="M14" s="285" t="inlineStr">
        <is>
          <t>Izvještaj o broju dolazećih putnika za mjesec JANUAR 2026. godine</t>
        </is>
      </c>
    </row>
    <row r="15">
      <c r="A15" s="137" t="n"/>
      <c r="J15" s="137" t="n"/>
      <c r="K15" s="137" t="n"/>
    </row>
    <row r="16">
      <c r="A16" s="137" t="n"/>
      <c r="J16" s="137" t="n"/>
      <c r="K16" s="137" t="n"/>
    </row>
    <row r="17">
      <c r="A17" s="137" t="n"/>
      <c r="B17" s="137" t="n"/>
      <c r="C17" s="137" t="n"/>
      <c r="D17" s="137" t="n"/>
      <c r="E17" s="137" t="n"/>
      <c r="F17" s="137" t="n"/>
      <c r="G17" s="137" t="n"/>
      <c r="H17" s="137" t="n"/>
      <c r="I17" s="137" t="n"/>
      <c r="J17" s="137" t="n"/>
      <c r="K17" s="137" t="n"/>
    </row>
    <row r="18">
      <c r="A18" s="137" t="n"/>
      <c r="B18" s="137" t="n"/>
      <c r="C18" s="137" t="n"/>
      <c r="D18" s="137" t="n"/>
      <c r="E18" s="137" t="n"/>
      <c r="F18" s="137" t="n"/>
      <c r="G18" s="137" t="n"/>
      <c r="H18" s="137" t="n"/>
      <c r="I18" s="137" t="n"/>
      <c r="J18" s="137" t="n"/>
      <c r="K18" s="137" t="n"/>
    </row>
    <row r="19">
      <c r="A19" s="137" t="n"/>
      <c r="B19" s="137" t="n"/>
      <c r="C19" s="137" t="n"/>
      <c r="D19" s="137" t="n"/>
      <c r="E19" s="137" t="n"/>
      <c r="F19" s="137" t="n"/>
      <c r="G19" s="137" t="n"/>
      <c r="H19" s="137" t="n"/>
      <c r="I19" s="137" t="n"/>
      <c r="J19" s="137" t="n"/>
      <c r="K19" s="137" t="n"/>
    </row>
    <row r="20">
      <c r="A20" s="137" t="n"/>
      <c r="B20" s="286" t="n"/>
      <c r="C20" s="286" t="inlineStr">
        <is>
          <t>Destinacija</t>
        </is>
      </c>
      <c r="F20" s="286" t="inlineStr">
        <is>
          <t>Broj letova</t>
        </is>
      </c>
      <c r="H20" s="286" t="inlineStr">
        <is>
          <t>Broj putnika</t>
        </is>
      </c>
      <c r="J20" s="137" t="n"/>
      <c r="K20" s="137" t="n"/>
      <c r="N20" s="286" t="inlineStr">
        <is>
          <t>Destinacija</t>
        </is>
      </c>
      <c r="Q20" s="286" t="inlineStr">
        <is>
          <t>Broj letova</t>
        </is>
      </c>
      <c r="S20" s="286" t="inlineStr">
        <is>
          <t>Broj putnika</t>
        </is>
      </c>
    </row>
    <row r="21">
      <c r="A21" s="137" t="n"/>
      <c r="B21" s="286" t="n"/>
      <c r="C21" s="286" t="n"/>
      <c r="D21" s="286" t="n"/>
      <c r="E21" s="286" t="n"/>
      <c r="F21" s="286" t="n"/>
      <c r="G21" s="286" t="n"/>
      <c r="H21" s="286" t="n"/>
      <c r="I21" s="286" t="n"/>
      <c r="J21" s="137" t="n"/>
      <c r="K21" s="137" t="n"/>
    </row>
    <row r="22">
      <c r="A22" s="137" t="n"/>
      <c r="B22" s="287" t="n"/>
      <c r="C22" s="338" t="n"/>
      <c r="D22" s="338" t="n"/>
      <c r="E22" s="338" t="n"/>
      <c r="F22" s="338" t="n"/>
      <c r="G22" s="338" t="n"/>
      <c r="H22" s="338" t="n"/>
      <c r="I22" s="338" t="n"/>
      <c r="J22" s="137" t="n"/>
      <c r="K22" s="137" t="n"/>
    </row>
    <row r="23">
      <c r="A23" s="137" t="n"/>
      <c r="B23" s="292" t="n"/>
      <c r="C23" s="292" t="n"/>
      <c r="D23" s="339" t="n"/>
      <c r="E23" s="328" t="n"/>
      <c r="F23" s="292" t="n"/>
      <c r="G23" s="328" t="n"/>
      <c r="H23" s="292" t="n"/>
      <c r="I23" s="328" t="n"/>
      <c r="J23" s="137" t="n"/>
      <c r="K23" s="137" t="n"/>
      <c r="M23" s="292" t="n"/>
      <c r="N23" s="292" t="n"/>
      <c r="O23" s="339" t="n"/>
      <c r="P23" s="328" t="n"/>
      <c r="Q23" s="292" t="n"/>
      <c r="R23" s="328" t="n"/>
      <c r="S23" s="292" t="n"/>
      <c r="T23" s="328" t="n"/>
    </row>
    <row r="24">
      <c r="A24" s="137" t="n"/>
      <c r="B24" s="298" t="n"/>
      <c r="C24" s="298" t="n"/>
      <c r="D24" s="298" t="n"/>
      <c r="E24" s="298" t="n"/>
      <c r="F24" s="139" t="n"/>
      <c r="G24" s="139" t="n"/>
      <c r="H24" s="139" t="n"/>
      <c r="I24" s="139" t="n"/>
      <c r="J24" s="137" t="n"/>
      <c r="K24" s="137" t="n"/>
      <c r="M24" s="292" t="n"/>
      <c r="N24" s="292" t="n"/>
      <c r="O24" s="339" t="n"/>
      <c r="P24" s="328" t="n"/>
      <c r="Q24" s="292" t="n"/>
      <c r="R24" s="328" t="n"/>
      <c r="S24" s="292" t="n"/>
      <c r="T24" s="328" t="n"/>
    </row>
    <row r="25">
      <c r="A25" s="137" t="n"/>
      <c r="B25" s="129" t="n"/>
      <c r="C25" s="299" t="n"/>
      <c r="E25" s="341" t="n"/>
      <c r="F25" s="342" t="n"/>
      <c r="G25" s="328" t="n"/>
      <c r="H25" s="342" t="n"/>
      <c r="I25" s="328" t="n"/>
      <c r="J25" s="137" t="n"/>
      <c r="K25" s="137" t="n"/>
      <c r="M25" s="292" t="n"/>
      <c r="N25" s="292" t="n"/>
      <c r="O25" s="339" t="n"/>
      <c r="P25" s="328" t="n"/>
      <c r="Q25" s="292" t="n"/>
      <c r="R25" s="328" t="n"/>
      <c r="S25" s="292" t="n"/>
      <c r="T25" s="328" t="n"/>
    </row>
    <row r="26">
      <c r="A26" s="137" t="n"/>
      <c r="B26" s="129" t="n"/>
      <c r="C26" s="298" t="n"/>
      <c r="D26" s="298" t="n"/>
      <c r="E26" s="298" t="n"/>
      <c r="F26" s="138" t="n"/>
      <c r="G26" s="138" t="n"/>
      <c r="H26" s="138" t="n"/>
      <c r="I26" s="138" t="n"/>
      <c r="J26" s="137" t="n"/>
      <c r="K26" s="137" t="n"/>
    </row>
    <row r="27">
      <c r="A27" s="137" t="n"/>
      <c r="B27" s="129" t="n"/>
      <c r="C27" s="298" t="n"/>
      <c r="D27" s="298" t="n"/>
      <c r="E27" s="298" t="n"/>
      <c r="F27" s="138" t="n"/>
      <c r="G27" s="138" t="n"/>
      <c r="H27" s="138" t="n"/>
      <c r="I27" s="138" t="n"/>
      <c r="J27" s="137" t="n"/>
      <c r="K27" s="137" t="n"/>
    </row>
    <row r="28">
      <c r="A28" s="137" t="n"/>
      <c r="B28" s="129" t="n"/>
      <c r="C28" s="298" t="n"/>
      <c r="D28" s="298" t="n"/>
      <c r="E28" s="298" t="n"/>
      <c r="F28" s="138" t="n"/>
      <c r="G28" s="138" t="n"/>
      <c r="H28" s="138" t="n"/>
      <c r="I28" s="138" t="n"/>
      <c r="J28" s="137" t="n"/>
      <c r="K28" s="137" t="n"/>
      <c r="N28" s="299" t="n"/>
      <c r="P28" s="341" t="n"/>
      <c r="Q28" s="342" t="n"/>
      <c r="R28" s="328" t="n"/>
      <c r="S28" s="342" t="n"/>
      <c r="T28" s="328" t="n"/>
    </row>
    <row r="29">
      <c r="A29" s="137" t="n"/>
      <c r="B29" s="129" t="n"/>
      <c r="C29" s="298" t="n"/>
      <c r="D29" s="298" t="n"/>
      <c r="E29" s="298" t="n"/>
      <c r="F29" s="138" t="n"/>
      <c r="G29" s="138" t="n"/>
      <c r="H29" s="138" t="n"/>
      <c r="I29" s="138" t="n"/>
      <c r="J29" s="137" t="n"/>
      <c r="K29" s="137" t="n"/>
    </row>
    <row r="30">
      <c r="A30" s="137" t="n"/>
      <c r="B30" s="129" t="n"/>
      <c r="C30" s="298" t="n"/>
      <c r="D30" s="298" t="n"/>
      <c r="E30" s="298" t="n"/>
      <c r="F30" s="138" t="n"/>
      <c r="G30" s="138" t="n"/>
      <c r="H30" s="138" t="n"/>
      <c r="I30" s="138" t="n"/>
      <c r="J30" s="137" t="n"/>
      <c r="K30" s="137" t="n"/>
    </row>
    <row r="31">
      <c r="A31" s="137" t="n"/>
      <c r="B31" s="298" t="n"/>
      <c r="C31" s="298" t="n"/>
      <c r="D31" s="298" t="n"/>
      <c r="E31" s="298" t="n"/>
      <c r="F31" s="298" t="n"/>
      <c r="G31" s="298" t="n"/>
      <c r="H31" s="298" t="n"/>
      <c r="I31" s="298" t="n"/>
      <c r="J31" s="137" t="n"/>
      <c r="K31" s="137" t="n"/>
    </row>
    <row r="32">
      <c r="A32" s="137" t="n"/>
      <c r="B32" s="137" t="n"/>
      <c r="C32" s="137" t="n"/>
      <c r="D32" s="137" t="n"/>
      <c r="E32" s="137" t="n"/>
      <c r="F32" s="137" t="n"/>
      <c r="G32" s="137" t="n"/>
      <c r="H32" s="137" t="n"/>
      <c r="I32" s="137" t="n"/>
      <c r="J32" s="137" t="n"/>
      <c r="K32" s="137" t="n"/>
    </row>
    <row r="33">
      <c r="A33" s="137" t="n"/>
      <c r="B33" s="137" t="n"/>
      <c r="C33" s="137" t="n"/>
      <c r="D33" s="137" t="n"/>
      <c r="E33" s="137" t="n"/>
      <c r="F33" s="137" t="n"/>
      <c r="G33" s="137" t="n"/>
      <c r="H33" s="137" t="n"/>
      <c r="I33" s="137" t="n"/>
      <c r="J33" s="137" t="n"/>
      <c r="K33" s="137" t="n"/>
    </row>
    <row r="34">
      <c r="A34" s="137" t="n"/>
      <c r="B34" s="137" t="n"/>
      <c r="C34" s="137" t="n"/>
      <c r="D34" s="137" t="n"/>
      <c r="E34" s="137" t="n"/>
      <c r="F34" s="137" t="n"/>
      <c r="G34" s="137" t="n"/>
      <c r="H34" s="137" t="n"/>
      <c r="I34" s="137" t="n"/>
      <c r="J34" s="137" t="n"/>
      <c r="K34" s="137" t="n"/>
    </row>
    <row r="35">
      <c r="A35" s="137" t="n"/>
      <c r="B35" s="137" t="n"/>
      <c r="C35" s="137" t="n"/>
      <c r="D35" s="137" t="n"/>
      <c r="E35" s="137" t="n"/>
      <c r="F35" s="137" t="n"/>
      <c r="G35" s="137" t="n"/>
      <c r="H35" s="137" t="n"/>
      <c r="I35" s="137" t="n"/>
      <c r="J35" s="137" t="n"/>
      <c r="K35" s="137" t="n"/>
    </row>
    <row r="36">
      <c r="A36" s="137" t="n"/>
      <c r="B36" s="137" t="n"/>
      <c r="C36" s="137" t="n"/>
      <c r="D36" s="137" t="n"/>
      <c r="E36" s="137" t="n"/>
      <c r="F36" s="137" t="n"/>
      <c r="G36" s="137" t="n"/>
      <c r="H36" s="137" t="n"/>
      <c r="I36" s="137" t="n"/>
      <c r="J36" s="137" t="n"/>
      <c r="K36" s="137" t="n"/>
    </row>
    <row r="37">
      <c r="A37" s="137" t="n"/>
      <c r="B37" s="298" t="inlineStr">
        <is>
          <t>Izvještaj pripremio:</t>
        </is>
      </c>
      <c r="E37" s="137" t="n"/>
      <c r="F37" s="137" t="n"/>
      <c r="G37" s="137" t="n"/>
      <c r="H37" s="137" t="n"/>
      <c r="I37" s="137" t="n"/>
      <c r="J37" s="137" t="n"/>
      <c r="K37" s="137" t="n"/>
    </row>
    <row r="38">
      <c r="A38" s="137" t="n"/>
      <c r="B38" s="298" t="n"/>
      <c r="C38" s="298" t="n"/>
      <c r="D38" s="298" t="n"/>
      <c r="E38" s="137" t="n"/>
      <c r="F38" s="137" t="n"/>
      <c r="G38" s="137" t="n"/>
      <c r="H38" s="137" t="n"/>
      <c r="I38" s="137" t="n"/>
      <c r="J38" s="137" t="n"/>
      <c r="K38" s="137" t="n"/>
    </row>
    <row r="39">
      <c r="A39" s="137" t="n"/>
      <c r="B39" s="298" t="n"/>
      <c r="E39" s="137" t="n"/>
      <c r="F39" s="137" t="n"/>
      <c r="G39" s="137" t="n"/>
      <c r="H39" s="137" t="n"/>
      <c r="I39" s="137" t="n"/>
      <c r="J39" s="137" t="n"/>
      <c r="K39" s="137" t="n"/>
    </row>
    <row r="40">
      <c r="A40" s="137" t="n"/>
      <c r="B40" s="137" t="inlineStr">
        <is>
          <t>Operativni centar JP "MAT" d.o.o.</t>
        </is>
      </c>
      <c r="C40" s="137" t="n"/>
      <c r="D40" s="137" t="n"/>
      <c r="E40" s="137" t="n"/>
      <c r="F40" s="137" t="n"/>
      <c r="G40" s="137" t="n"/>
      <c r="H40" s="137" t="n"/>
      <c r="I40" s="137" t="n"/>
      <c r="J40" s="137" t="n"/>
      <c r="K40" s="137" t="n"/>
    </row>
  </sheetData>
  <mergeCells count="30">
    <mergeCell ref="Q25:R25"/>
    <mergeCell ref="H20:I20"/>
    <mergeCell ref="S25:T25"/>
    <mergeCell ref="F25:G25"/>
    <mergeCell ref="Q28:R28"/>
    <mergeCell ref="N23:P23"/>
    <mergeCell ref="B22:I22"/>
    <mergeCell ref="Q24:R24"/>
    <mergeCell ref="H25:I25"/>
    <mergeCell ref="B37:D37"/>
    <mergeCell ref="N28:P28"/>
    <mergeCell ref="C23:E23"/>
    <mergeCell ref="Q20:R20"/>
    <mergeCell ref="F20:G20"/>
    <mergeCell ref="Q23:R23"/>
    <mergeCell ref="S23:T23"/>
    <mergeCell ref="S28:T28"/>
    <mergeCell ref="N24:P24"/>
    <mergeCell ref="F23:G23"/>
    <mergeCell ref="C9:H10"/>
    <mergeCell ref="S24:T24"/>
    <mergeCell ref="B14:I16"/>
    <mergeCell ref="N20:P20"/>
    <mergeCell ref="N25:P25"/>
    <mergeCell ref="S20:T20"/>
    <mergeCell ref="H23:I23"/>
    <mergeCell ref="M14:T16"/>
    <mergeCell ref="B39:D39"/>
    <mergeCell ref="C20:E20"/>
    <mergeCell ref="C25:E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40"/>
  <sheetViews>
    <sheetView zoomScale="90" zoomScaleNormal="90" zoomScaleSheetLayoutView="80" workbookViewId="0">
      <selection activeCell="T24" sqref="T24"/>
    </sheetView>
  </sheetViews>
  <sheetFormatPr baseColWidth="8" defaultColWidth="9.140625" defaultRowHeight="15"/>
  <cols>
    <col width="9.140625" customWidth="1" style="137" min="1" max="16384"/>
  </cols>
  <sheetData>
    <row r="1">
      <c r="K1" s="137" t="n"/>
    </row>
    <row r="2">
      <c r="K2" s="137" t="n"/>
    </row>
    <row r="3">
      <c r="K3" s="137" t="n"/>
    </row>
    <row r="9">
      <c r="C9" s="297" t="inlineStr">
        <is>
          <t>AJET AIRLINES</t>
        </is>
      </c>
    </row>
    <row r="10"/>
    <row r="14" ht="15" customHeight="1">
      <c r="B14" s="285" t="inlineStr">
        <is>
          <t>Izvještaj o broju odlazećih putnika za mjesec JANUAR 2026. godine</t>
        </is>
      </c>
    </row>
    <row r="15" ht="15" customHeight="1"/>
    <row r="16" ht="15" customHeight="1"/>
    <row r="20">
      <c r="B20" s="286" t="n"/>
      <c r="C20" s="286" t="inlineStr">
        <is>
          <t>Destinacija</t>
        </is>
      </c>
      <c r="F20" s="286" t="inlineStr">
        <is>
          <t>Broj letova</t>
        </is>
      </c>
      <c r="H20" s="286" t="inlineStr">
        <is>
          <t>Broj putnika</t>
        </is>
      </c>
    </row>
    <row r="21" ht="11.25" customHeight="1">
      <c r="B21" s="286" t="n"/>
      <c r="C21" s="286" t="n"/>
      <c r="D21" s="286" t="n"/>
      <c r="E21" s="286" t="n"/>
      <c r="F21" s="286" t="n"/>
      <c r="G21" s="286" t="n"/>
      <c r="H21" s="286" t="n"/>
      <c r="I21" s="286" t="n"/>
    </row>
    <row r="22">
      <c r="B22" s="287" t="n"/>
      <c r="C22" s="338" t="n"/>
      <c r="D22" s="338" t="n"/>
      <c r="E22" s="338" t="n"/>
      <c r="F22" s="338" t="n"/>
      <c r="G22" s="338" t="n"/>
      <c r="H22" s="338" t="n"/>
      <c r="I22" s="338" t="n"/>
    </row>
    <row r="23" ht="18" customHeight="1">
      <c r="B23" s="292" t="n"/>
      <c r="C23" s="292" t="n"/>
      <c r="D23" s="339" t="n"/>
      <c r="E23" s="328" t="n"/>
      <c r="F23" s="292" t="n"/>
      <c r="G23" s="328" t="n"/>
      <c r="H23" s="292" t="n"/>
      <c r="I23" s="328" t="n"/>
    </row>
    <row r="24" ht="18" customHeight="1">
      <c r="B24" s="298" t="n"/>
      <c r="C24" s="298" t="n"/>
      <c r="D24" s="298" t="n"/>
      <c r="E24" s="298" t="n"/>
      <c r="F24" s="139" t="n"/>
      <c r="G24" s="139" t="n"/>
      <c r="H24" s="139" t="n"/>
      <c r="I24" s="139" t="n"/>
    </row>
    <row r="25" ht="18" customHeight="1">
      <c r="B25" s="129" t="n"/>
      <c r="C25" s="299" t="n"/>
      <c r="E25" s="341" t="n"/>
      <c r="F25" s="342" t="n"/>
      <c r="G25" s="328" t="n"/>
      <c r="H25" s="342" t="n"/>
      <c r="I25" s="328" t="n"/>
    </row>
    <row r="26" ht="18" customHeight="1">
      <c r="B26" s="129" t="n"/>
      <c r="C26" s="298" t="n"/>
      <c r="D26" s="298" t="n"/>
      <c r="E26" s="298" t="n"/>
      <c r="F26" s="138" t="n"/>
      <c r="G26" s="138" t="n"/>
      <c r="H26" s="138" t="n"/>
      <c r="I26" s="138" t="n"/>
    </row>
    <row r="27" ht="18" customHeight="1">
      <c r="B27" s="129" t="n"/>
      <c r="C27" s="298" t="n"/>
      <c r="D27" s="298" t="n"/>
      <c r="E27" s="298" t="n"/>
      <c r="F27" s="138" t="n"/>
      <c r="G27" s="138" t="n"/>
      <c r="H27" s="138" t="n"/>
      <c r="I27" s="138" t="n"/>
    </row>
    <row r="28" ht="18" customHeight="1">
      <c r="B28" s="129" t="n"/>
      <c r="C28" s="298" t="n"/>
      <c r="D28" s="298" t="n"/>
      <c r="E28" s="298" t="n"/>
      <c r="F28" s="138" t="n"/>
      <c r="G28" s="138" t="n"/>
      <c r="H28" s="138" t="n"/>
      <c r="I28" s="138" t="n"/>
    </row>
    <row r="29" ht="18" customHeight="1">
      <c r="B29" s="129" t="n"/>
      <c r="C29" s="298" t="n"/>
      <c r="D29" s="298" t="n"/>
      <c r="E29" s="298" t="n"/>
      <c r="F29" s="138" t="n"/>
      <c r="G29" s="138" t="n"/>
      <c r="H29" s="138" t="n"/>
      <c r="I29" s="138" t="n"/>
    </row>
    <row r="30" ht="18" customHeight="1">
      <c r="B30" s="129" t="n"/>
      <c r="C30" s="298" t="n"/>
      <c r="D30" s="298" t="n"/>
      <c r="E30" s="298" t="n"/>
      <c r="F30" s="138" t="n"/>
      <c r="G30" s="138" t="n"/>
      <c r="H30" s="138" t="n"/>
      <c r="I30" s="138" t="n"/>
    </row>
    <row r="31" ht="18.75" customHeight="1">
      <c r="B31" s="298" t="n"/>
      <c r="C31" s="298" t="n"/>
      <c r="D31" s="298" t="n"/>
      <c r="E31" s="298" t="n"/>
      <c r="F31" s="298" t="n"/>
      <c r="G31" s="298" t="n"/>
      <c r="H31" s="298" t="n"/>
      <c r="I31" s="298" t="n"/>
    </row>
    <row r="37">
      <c r="B37" s="298" t="inlineStr">
        <is>
          <t>Izvještaj pripremio:</t>
        </is>
      </c>
    </row>
    <row r="38">
      <c r="B38" s="298" t="n"/>
      <c r="C38" s="298" t="n"/>
      <c r="D38" s="298" t="n"/>
    </row>
    <row r="39">
      <c r="B39" s="298" t="n"/>
    </row>
    <row r="40">
      <c r="B40" s="137" t="inlineStr">
        <is>
          <t>Operativni centar JP "MAT" d.o.o.</t>
        </is>
      </c>
    </row>
  </sheetData>
  <mergeCells count="14">
    <mergeCell ref="H25:I25"/>
    <mergeCell ref="B37:D37"/>
    <mergeCell ref="H20:I20"/>
    <mergeCell ref="C23:E23"/>
    <mergeCell ref="F25:G25"/>
    <mergeCell ref="F20:G20"/>
    <mergeCell ref="F23:G23"/>
    <mergeCell ref="C9:H10"/>
    <mergeCell ref="B14:I16"/>
    <mergeCell ref="B22:I22"/>
    <mergeCell ref="H23:I23"/>
    <mergeCell ref="B39:D39"/>
    <mergeCell ref="C20:E20"/>
    <mergeCell ref="C25:E25"/>
  </mergeCells>
  <pageMargins left="0.7" right="0.354166666666666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C4:S14"/>
  <sheetViews>
    <sheetView zoomScaleNormal="100" workbookViewId="0">
      <selection activeCell="W31" sqref="W31"/>
    </sheetView>
  </sheetViews>
  <sheetFormatPr baseColWidth="8" defaultRowHeight="15"/>
  <sheetData>
    <row r="4"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</row>
    <row r="5">
      <c r="C5" s="47" t="n"/>
      <c r="D5" s="47" t="n"/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</row>
    <row r="6">
      <c r="C6" s="47" t="n"/>
      <c r="D6" s="47" t="n"/>
      <c r="E6" s="47" t="n"/>
      <c r="F6" s="47" t="n"/>
      <c r="G6" s="343" t="inlineStr">
        <is>
          <t>PUTNICI</t>
        </is>
      </c>
      <c r="H6" s="344" t="n"/>
      <c r="I6" s="344" t="n"/>
      <c r="J6" s="344" t="n"/>
      <c r="K6" s="344" t="n"/>
      <c r="L6" s="329" t="n"/>
      <c r="M6" s="35" t="n"/>
      <c r="N6" s="343" t="inlineStr">
        <is>
          <t>TERET</t>
        </is>
      </c>
      <c r="O6" s="344" t="n"/>
      <c r="P6" s="344" t="n"/>
      <c r="Q6" s="344" t="n"/>
      <c r="R6" s="344" t="n"/>
      <c r="S6" s="329" t="n"/>
    </row>
    <row r="7">
      <c r="C7" s="47" t="n"/>
      <c r="D7" s="47" t="n"/>
      <c r="E7" s="104" t="inlineStr">
        <is>
          <t>Broj letova</t>
        </is>
      </c>
      <c r="F7" s="329" t="n"/>
      <c r="G7" s="104" t="inlineStr">
        <is>
          <t>Ukrcano</t>
        </is>
      </c>
      <c r="H7" s="329" t="n"/>
      <c r="I7" s="104" t="inlineStr">
        <is>
          <t>Iskrcano</t>
        </is>
      </c>
      <c r="J7" s="329" t="n"/>
      <c r="K7" s="104" t="inlineStr">
        <is>
          <t>Ukupno</t>
        </is>
      </c>
      <c r="L7" s="329" t="n"/>
      <c r="M7" s="5" t="n"/>
      <c r="N7" s="104" t="inlineStr">
        <is>
          <t>Utovareno</t>
        </is>
      </c>
      <c r="O7" s="329" t="n"/>
      <c r="P7" s="104" t="inlineStr">
        <is>
          <t>Istovareno</t>
        </is>
      </c>
      <c r="Q7" s="329" t="n"/>
      <c r="R7" s="104" t="inlineStr">
        <is>
          <t>Ukupno</t>
        </is>
      </c>
      <c r="S7" s="329" t="n"/>
    </row>
    <row r="8">
      <c r="C8" s="104" t="inlineStr">
        <is>
          <t>Redovni promet</t>
        </is>
      </c>
      <c r="D8" s="329" t="n"/>
      <c r="E8" s="345">
        <f>'Redovni promet'!AX12</f>
        <v/>
      </c>
      <c r="F8" s="328" t="n"/>
      <c r="G8" s="345">
        <f>'Redovni promet'!AY12</f>
        <v/>
      </c>
      <c r="H8" s="328" t="n"/>
      <c r="I8" s="345">
        <f>'Redovni promet'!AZ12</f>
        <v/>
      </c>
      <c r="J8" s="328" t="n"/>
      <c r="K8" s="345">
        <f>SUM(G8:J8)</f>
        <v/>
      </c>
      <c r="L8" s="328" t="n"/>
      <c r="M8" s="5" t="n"/>
      <c r="N8" s="104" t="n">
        <v>0</v>
      </c>
      <c r="O8" s="329" t="n"/>
      <c r="P8" s="104" t="n">
        <v>0</v>
      </c>
      <c r="Q8" s="329" t="n"/>
      <c r="R8" s="104" t="n">
        <v>0</v>
      </c>
      <c r="S8" s="329" t="n"/>
    </row>
    <row r="9">
      <c r="C9" s="104" t="inlineStr">
        <is>
          <t>Vanredni promet</t>
        </is>
      </c>
      <c r="D9" s="329" t="n"/>
      <c r="E9" s="345">
        <f>COUNTA('Vanredni promet'!D6:D39)</f>
        <v/>
      </c>
      <c r="F9" s="328" t="n"/>
      <c r="G9" s="345">
        <f>SUM('Vanredni promet'!E6:F39)</f>
        <v/>
      </c>
      <c r="H9" s="328" t="n"/>
      <c r="I9" s="345">
        <f>SUM('Vanredni promet'!G6:H39)</f>
        <v/>
      </c>
      <c r="J9" s="328" t="n"/>
      <c r="K9" s="345">
        <f>SUM(G9:J9)</f>
        <v/>
      </c>
      <c r="L9" s="328" t="n"/>
      <c r="M9" s="5" t="n"/>
      <c r="N9" s="345" t="n">
        <v>0</v>
      </c>
      <c r="O9" s="328" t="n"/>
      <c r="P9" s="345" t="n">
        <v>0</v>
      </c>
      <c r="Q9" s="328" t="n"/>
      <c r="R9" s="345">
        <f>SUM(N9:Q9)</f>
        <v/>
      </c>
      <c r="S9" s="328" t="n"/>
    </row>
    <row r="10">
      <c r="C10" s="104" t="inlineStr">
        <is>
          <t>Ostala slijetanja</t>
        </is>
      </c>
      <c r="D10" s="329" t="n"/>
      <c r="E10" s="345">
        <f>'Ostala slijetanja'!D38/2</f>
        <v/>
      </c>
      <c r="F10" s="328" t="n"/>
      <c r="G10" s="345">
        <f>'Ostala slijetanja'!E38</f>
        <v/>
      </c>
      <c r="H10" s="328" t="n"/>
      <c r="I10" s="345">
        <f>'Ostala slijetanja'!F38</f>
        <v/>
      </c>
      <c r="J10" s="328" t="n"/>
      <c r="K10" s="345">
        <f>SUM(G10:J10)</f>
        <v/>
      </c>
      <c r="L10" s="328" t="n"/>
      <c r="M10" s="5" t="n"/>
      <c r="N10" s="345" t="n">
        <v>0</v>
      </c>
      <c r="O10" s="328" t="n"/>
      <c r="P10" s="345" t="n">
        <v>0</v>
      </c>
      <c r="Q10" s="328" t="n"/>
      <c r="R10" s="345">
        <f>SUM(N10:Q10)</f>
        <v/>
      </c>
      <c r="S10" s="328" t="n"/>
    </row>
    <row r="11"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</row>
    <row r="12">
      <c r="C12" s="104" t="inlineStr">
        <is>
          <t>UKUPNO</t>
        </is>
      </c>
      <c r="D12" s="329" t="n"/>
      <c r="E12" s="346">
        <f>SUM(E8:F10)</f>
        <v/>
      </c>
      <c r="F12" s="328" t="n"/>
      <c r="G12" s="346">
        <f>SUM(G8:H10)</f>
        <v/>
      </c>
      <c r="H12" s="328" t="n"/>
      <c r="I12" s="346">
        <f>SUM(I8:J10)</f>
        <v/>
      </c>
      <c r="J12" s="328" t="n"/>
      <c r="K12" s="346">
        <f>SUM(K8:L10)</f>
        <v/>
      </c>
      <c r="L12" s="328" t="n"/>
      <c r="M12" s="9" t="n"/>
      <c r="N12" s="345">
        <f>SUM(N8:O10)</f>
        <v/>
      </c>
      <c r="O12" s="328" t="n"/>
      <c r="P12" s="345">
        <f>SUM(P8:Q10)</f>
        <v/>
      </c>
      <c r="Q12" s="328" t="n"/>
      <c r="R12" s="345">
        <f>SUM(R8:S10)</f>
        <v/>
      </c>
      <c r="S12" s="328" t="n"/>
    </row>
    <row r="13">
      <c r="C13" s="47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</row>
    <row r="14"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</row>
  </sheetData>
  <mergeCells count="41">
    <mergeCell ref="E12:F12"/>
    <mergeCell ref="G12:H12"/>
    <mergeCell ref="N7:O7"/>
    <mergeCell ref="G6:L6"/>
    <mergeCell ref="P10:Q10"/>
    <mergeCell ref="K9:L9"/>
    <mergeCell ref="R10:S10"/>
    <mergeCell ref="G8:H8"/>
    <mergeCell ref="E8:F8"/>
    <mergeCell ref="P9:Q9"/>
    <mergeCell ref="C10:D10"/>
    <mergeCell ref="R7:S7"/>
    <mergeCell ref="N12:O12"/>
    <mergeCell ref="E10:F10"/>
    <mergeCell ref="G7:H7"/>
    <mergeCell ref="I7:J7"/>
    <mergeCell ref="G10:H10"/>
    <mergeCell ref="P8:Q8"/>
    <mergeCell ref="C9:D9"/>
    <mergeCell ref="E9:F9"/>
    <mergeCell ref="N8:O8"/>
    <mergeCell ref="R12:S12"/>
    <mergeCell ref="N6:S6"/>
    <mergeCell ref="C12:D12"/>
    <mergeCell ref="I12:J12"/>
    <mergeCell ref="K12:L12"/>
    <mergeCell ref="P7:Q7"/>
    <mergeCell ref="K8:L8"/>
    <mergeCell ref="N10:O10"/>
    <mergeCell ref="I8:J8"/>
    <mergeCell ref="C8:D8"/>
    <mergeCell ref="N9:O9"/>
    <mergeCell ref="K7:L7"/>
    <mergeCell ref="P12:Q12"/>
    <mergeCell ref="E7:F7"/>
    <mergeCell ref="I10:J10"/>
    <mergeCell ref="K10:L10"/>
    <mergeCell ref="R9:S9"/>
    <mergeCell ref="G9:H9"/>
    <mergeCell ref="I9:J9"/>
    <mergeCell ref="R8:S8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Semir</dc:creator>
  <dcterms:created xsi:type="dcterms:W3CDTF">2017-01-18T09:15:02Z</dcterms:created>
  <dcterms:modified xsi:type="dcterms:W3CDTF">2026-01-04T14:36:42Z</dcterms:modified>
  <cp:lastModifiedBy>OPC-TZL</cp:lastModifiedBy>
  <cp:lastPrinted>2024-10-09T11:59:32Z</cp:lastPrinted>
</cp:coreProperties>
</file>