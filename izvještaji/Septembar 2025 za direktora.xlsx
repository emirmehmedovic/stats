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PC-TZL\Desktop\STATISTIČKI IZVJEŠTAJI\2025\Mjesečni izvještaji\Septembar\"/>
    </mc:Choice>
  </mc:AlternateContent>
  <xr:revisionPtr revIDLastSave="0" documentId="13_ncr:1_{1395A9D5-CA6A-4574-953A-45C37CD38BF1}" xr6:coauthVersionLast="37" xr6:coauthVersionMax="37" xr10:uidLastSave="{00000000-0000-0000-0000-000000000000}"/>
  <bookViews>
    <workbookView xWindow="0" yWindow="0" windowWidth="28800" windowHeight="12105" xr2:uid="{8DBF14F8-D0C3-4E6A-8CE8-8B5A3363C8A9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4" i="1" l="1"/>
  <c r="W4" i="1"/>
  <c r="Y5" i="1"/>
  <c r="X25" i="1"/>
  <c r="W25" i="1"/>
  <c r="V25" i="1"/>
  <c r="Y25" i="1"/>
  <c r="O50" i="1" l="1"/>
  <c r="O49" i="1"/>
  <c r="O48" i="1"/>
  <c r="F50" i="1" l="1"/>
  <c r="F49" i="1"/>
  <c r="F48" i="1"/>
  <c r="O36" i="1" l="1"/>
  <c r="O35" i="1"/>
  <c r="O34" i="1"/>
  <c r="X11" i="1" l="1"/>
  <c r="W11" i="1"/>
  <c r="V11" i="1"/>
  <c r="Y6" i="1"/>
  <c r="Y7" i="1"/>
  <c r="Y8" i="1"/>
  <c r="Y9" i="1"/>
  <c r="Y4" i="1" l="1"/>
  <c r="Y11" i="1"/>
  <c r="L25" i="1"/>
  <c r="M25" i="1"/>
  <c r="N25" i="1"/>
  <c r="N18" i="1"/>
  <c r="M18" i="1"/>
  <c r="O18" i="1" s="1"/>
  <c r="O25" i="1" s="1"/>
  <c r="O19" i="1"/>
  <c r="O20" i="1"/>
  <c r="O21" i="1"/>
  <c r="O22" i="1"/>
  <c r="O23" i="1"/>
  <c r="O4" i="1" l="1"/>
  <c r="O5" i="1"/>
  <c r="O6" i="1"/>
  <c r="O7" i="1"/>
  <c r="O8" i="1"/>
  <c r="O11" i="1" s="1"/>
  <c r="L11" i="1"/>
  <c r="M11" i="1"/>
  <c r="N11" i="1"/>
  <c r="F22" i="1" l="1"/>
  <c r="F25" i="1" l="1"/>
  <c r="E25" i="1"/>
  <c r="D25" i="1"/>
  <c r="C25" i="1"/>
  <c r="F11" i="1" l="1"/>
  <c r="E11" i="1"/>
  <c r="D11" i="1"/>
  <c r="C11" i="1"/>
  <c r="F4" i="1"/>
  <c r="E4" i="1"/>
  <c r="D4" i="1"/>
</calcChain>
</file>

<file path=xl/sharedStrings.xml><?xml version="1.0" encoding="utf-8"?>
<sst xmlns="http://schemas.openxmlformats.org/spreadsheetml/2006/main" count="161" uniqueCount="16">
  <si>
    <t>Putnici</t>
  </si>
  <si>
    <t>Teret (t)</t>
  </si>
  <si>
    <t>Br letova</t>
  </si>
  <si>
    <t>Iskrcano</t>
  </si>
  <si>
    <t>Ukrcano</t>
  </si>
  <si>
    <t>Ukupno</t>
  </si>
  <si>
    <t>Istovareno</t>
  </si>
  <si>
    <t>Utovareno</t>
  </si>
  <si>
    <t>Redovni promet</t>
  </si>
  <si>
    <t>WIZZAIR</t>
  </si>
  <si>
    <t>PEGASUS</t>
  </si>
  <si>
    <t>AJET</t>
  </si>
  <si>
    <t>Vanredni promet</t>
  </si>
  <si>
    <t>Ostala slijetanja</t>
  </si>
  <si>
    <t>UKUPNO</t>
  </si>
  <si>
    <t>Januar-Septembar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</si>
</sst>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" fontId="2" fillId="0" borderId="6" xfId="0" applyNumberFormat="1" applyFont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17" fontId="2" fillId="0" borderId="8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2">
    <cellStyle name="Normal" xfId="0" builtinId="0"/>
    <cellStyle name="Normal 2" xfId="1" xr:uid="{84836642-B96F-4A22-8701-D3956CB797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0EADA-1B21-4B19-A3DD-C88DA98DA51E}">
  <dimension ref="A1:AB53"/>
  <sheetViews>
    <sheetView tabSelected="1" zoomScale="90" zoomScaleNormal="90" workbookViewId="0">
      <selection activeCell="V2" sqref="V2"/>
    </sheetView>
  </sheetViews>
  <sheetFormatPr defaultRowHeight="15" x14ac:dyDescent="0.25"/>
  <cols>
    <col min="2" max="2" width="17.28515625" customWidth="1"/>
    <col min="3" max="4" width="10" bestFit="1" customWidth="1"/>
    <col min="8" max="9" width="4.28515625" customWidth="1"/>
    <col min="10" max="10" width="5.7109375" customWidth="1"/>
    <col min="11" max="11" width="18" customWidth="1"/>
    <col min="20" max="20" width="3.5703125" customWidth="1"/>
    <col min="21" max="21" width="18.7109375" customWidth="1"/>
  </cols>
  <sheetData>
    <row r="1" spans="1:28" x14ac:dyDescent="0.25">
      <c r="A1" s="1"/>
      <c r="B1" s="1"/>
      <c r="C1" s="37">
        <v>45658</v>
      </c>
      <c r="D1" s="38"/>
      <c r="E1" s="38"/>
      <c r="F1" s="38"/>
      <c r="G1" s="38"/>
      <c r="H1" s="38"/>
      <c r="I1" s="38"/>
      <c r="K1" s="1"/>
      <c r="L1" s="44">
        <v>45689</v>
      </c>
      <c r="M1" s="45"/>
      <c r="N1" s="45"/>
      <c r="O1" s="45"/>
      <c r="P1" s="45"/>
      <c r="Q1" s="45"/>
      <c r="R1" s="46"/>
      <c r="U1" s="1"/>
      <c r="V1" s="37" t="s">
        <v>15</v>
      </c>
      <c r="W1" s="43"/>
      <c r="X1" s="43"/>
      <c r="Y1" s="43"/>
      <c r="Z1" s="43"/>
      <c r="AA1" s="43"/>
      <c r="AB1" s="43"/>
    </row>
    <row r="2" spans="1:28" x14ac:dyDescent="0.25">
      <c r="A2" s="1"/>
      <c r="B2" s="1"/>
      <c r="C2" s="2"/>
      <c r="D2" s="39" t="s">
        <v>0</v>
      </c>
      <c r="E2" s="40"/>
      <c r="F2" s="41"/>
      <c r="G2" s="42" t="s">
        <v>1</v>
      </c>
      <c r="H2" s="42"/>
      <c r="I2" s="42"/>
      <c r="K2" s="1"/>
      <c r="L2" s="2"/>
      <c r="M2" s="47" t="s">
        <v>0</v>
      </c>
      <c r="N2" s="48"/>
      <c r="O2" s="49"/>
      <c r="P2" s="47" t="s">
        <v>1</v>
      </c>
      <c r="Q2" s="48"/>
      <c r="R2" s="49"/>
      <c r="U2" s="1"/>
      <c r="V2" s="2"/>
      <c r="W2" s="39" t="s">
        <v>0</v>
      </c>
      <c r="X2" s="40"/>
      <c r="Y2" s="41"/>
      <c r="Z2" s="42" t="s">
        <v>1</v>
      </c>
      <c r="AA2" s="42"/>
      <c r="AB2" s="42"/>
    </row>
    <row r="3" spans="1:28" x14ac:dyDescent="0.25">
      <c r="A3" s="1"/>
      <c r="B3" s="1"/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5</v>
      </c>
      <c r="K3" s="1"/>
      <c r="L3" s="3" t="s">
        <v>2</v>
      </c>
      <c r="M3" s="4" t="s">
        <v>3</v>
      </c>
      <c r="N3" s="4" t="s">
        <v>4</v>
      </c>
      <c r="O3" s="4" t="s">
        <v>5</v>
      </c>
      <c r="P3" s="4" t="s">
        <v>6</v>
      </c>
      <c r="Q3" s="4" t="s">
        <v>7</v>
      </c>
      <c r="R3" s="4" t="s">
        <v>5</v>
      </c>
      <c r="U3" s="1"/>
      <c r="V3" s="3" t="s">
        <v>2</v>
      </c>
      <c r="W3" s="4" t="s">
        <v>3</v>
      </c>
      <c r="X3" s="4" t="s">
        <v>4</v>
      </c>
      <c r="Y3" s="4" t="s">
        <v>5</v>
      </c>
      <c r="Z3" s="4" t="s">
        <v>6</v>
      </c>
      <c r="AA3" s="4" t="s">
        <v>7</v>
      </c>
      <c r="AB3" s="4" t="s">
        <v>5</v>
      </c>
    </row>
    <row r="4" spans="1:28" x14ac:dyDescent="0.25">
      <c r="A4" s="1"/>
      <c r="B4" s="5" t="s">
        <v>8</v>
      </c>
      <c r="C4" s="6">
        <v>68</v>
      </c>
      <c r="D4" s="6">
        <f>SUM(D5,D6,D7)</f>
        <v>8961</v>
      </c>
      <c r="E4" s="9">
        <f>SUM(E5,E6,E7)</f>
        <v>10715</v>
      </c>
      <c r="F4" s="9">
        <f>SUM(F5,F6,F7)</f>
        <v>19676</v>
      </c>
      <c r="G4" s="7">
        <v>0</v>
      </c>
      <c r="H4" s="7">
        <v>0</v>
      </c>
      <c r="I4" s="7">
        <v>0</v>
      </c>
      <c r="K4" s="5" t="s">
        <v>8</v>
      </c>
      <c r="L4" s="10">
        <v>56</v>
      </c>
      <c r="M4" s="10">
        <v>8921</v>
      </c>
      <c r="N4" s="10">
        <v>8906</v>
      </c>
      <c r="O4" s="12">
        <f t="shared" ref="O4:O6" si="0">M4+N4</f>
        <v>17827</v>
      </c>
      <c r="P4" s="11">
        <v>0</v>
      </c>
      <c r="Q4" s="11">
        <v>0</v>
      </c>
      <c r="R4" s="11">
        <v>0</v>
      </c>
      <c r="U4" s="5" t="s">
        <v>8</v>
      </c>
      <c r="V4" s="10">
        <v>602</v>
      </c>
      <c r="W4" s="10">
        <f>W5+W6+W7</f>
        <v>114576</v>
      </c>
      <c r="X4" s="19">
        <f>X5+X6+X7</f>
        <v>117255</v>
      </c>
      <c r="Y4" s="10">
        <f>W4+X4</f>
        <v>231831</v>
      </c>
      <c r="Z4" s="11">
        <v>0</v>
      </c>
      <c r="AA4" s="11">
        <v>0</v>
      </c>
      <c r="AB4" s="11">
        <v>0</v>
      </c>
    </row>
    <row r="5" spans="1:28" x14ac:dyDescent="0.25">
      <c r="A5" s="1"/>
      <c r="B5" s="1" t="s">
        <v>9</v>
      </c>
      <c r="C5" s="7">
        <v>55</v>
      </c>
      <c r="D5" s="7">
        <v>7448</v>
      </c>
      <c r="E5" s="7">
        <v>9592</v>
      </c>
      <c r="F5" s="7">
        <v>17040</v>
      </c>
      <c r="G5" s="7">
        <v>0</v>
      </c>
      <c r="H5" s="7">
        <v>0</v>
      </c>
      <c r="I5" s="7">
        <v>0</v>
      </c>
      <c r="K5" s="1" t="s">
        <v>9</v>
      </c>
      <c r="L5" s="11">
        <v>48</v>
      </c>
      <c r="M5" s="11">
        <v>8221</v>
      </c>
      <c r="N5" s="11">
        <v>8172</v>
      </c>
      <c r="O5" s="12">
        <f t="shared" si="0"/>
        <v>16393</v>
      </c>
      <c r="P5" s="11">
        <v>0</v>
      </c>
      <c r="Q5" s="11">
        <v>0</v>
      </c>
      <c r="R5" s="11">
        <v>0</v>
      </c>
      <c r="U5" s="1" t="s">
        <v>9</v>
      </c>
      <c r="V5" s="11">
        <v>617</v>
      </c>
      <c r="W5" s="11">
        <v>103730</v>
      </c>
      <c r="X5" s="11">
        <v>106682</v>
      </c>
      <c r="Y5" s="24">
        <f>W5+X5</f>
        <v>210412</v>
      </c>
      <c r="Z5" s="11">
        <v>0</v>
      </c>
      <c r="AA5" s="11">
        <v>0</v>
      </c>
      <c r="AB5" s="11">
        <v>0</v>
      </c>
    </row>
    <row r="6" spans="1:28" x14ac:dyDescent="0.25">
      <c r="A6" s="1"/>
      <c r="B6" s="1" t="s">
        <v>10</v>
      </c>
      <c r="C6" s="7">
        <v>9</v>
      </c>
      <c r="D6" s="7">
        <v>1103</v>
      </c>
      <c r="E6" s="7">
        <v>802</v>
      </c>
      <c r="F6" s="7">
        <v>1905</v>
      </c>
      <c r="G6" s="7">
        <v>0</v>
      </c>
      <c r="H6" s="7">
        <v>0</v>
      </c>
      <c r="I6" s="7">
        <v>0</v>
      </c>
      <c r="K6" s="1" t="s">
        <v>10</v>
      </c>
      <c r="L6" s="11">
        <v>4</v>
      </c>
      <c r="M6" s="11">
        <v>375</v>
      </c>
      <c r="N6" s="11">
        <v>371</v>
      </c>
      <c r="O6" s="12">
        <f t="shared" si="0"/>
        <v>746</v>
      </c>
      <c r="P6" s="11">
        <v>0</v>
      </c>
      <c r="Q6" s="11">
        <v>0</v>
      </c>
      <c r="R6" s="11">
        <v>0</v>
      </c>
      <c r="U6" s="1" t="s">
        <v>10</v>
      </c>
      <c r="V6" s="11">
        <v>44</v>
      </c>
      <c r="W6" s="11">
        <v>5734</v>
      </c>
      <c r="X6" s="11">
        <v>5463</v>
      </c>
      <c r="Y6" s="24">
        <f t="shared" ref="Y5:Y11" si="1">W6+X6</f>
        <v>11197</v>
      </c>
      <c r="Z6" s="11">
        <v>0</v>
      </c>
      <c r="AA6" s="11">
        <v>0</v>
      </c>
      <c r="AB6" s="11">
        <v>0</v>
      </c>
    </row>
    <row r="7" spans="1:28" x14ac:dyDescent="0.25">
      <c r="A7" s="1"/>
      <c r="B7" s="1" t="s">
        <v>11</v>
      </c>
      <c r="C7" s="7">
        <v>4</v>
      </c>
      <c r="D7" s="7">
        <v>410</v>
      </c>
      <c r="E7" s="7">
        <v>321</v>
      </c>
      <c r="F7" s="7">
        <v>731</v>
      </c>
      <c r="G7" s="7">
        <v>0</v>
      </c>
      <c r="H7" s="7">
        <v>0</v>
      </c>
      <c r="I7" s="7">
        <v>0</v>
      </c>
      <c r="K7" s="1" t="s">
        <v>11</v>
      </c>
      <c r="L7" s="11">
        <v>4</v>
      </c>
      <c r="M7" s="11">
        <v>325</v>
      </c>
      <c r="N7" s="11">
        <v>363</v>
      </c>
      <c r="O7" s="12">
        <f>M7+N7</f>
        <v>688</v>
      </c>
      <c r="P7" s="11">
        <v>0</v>
      </c>
      <c r="Q7" s="11">
        <v>0</v>
      </c>
      <c r="R7" s="11">
        <v>0</v>
      </c>
      <c r="U7" s="1" t="s">
        <v>11</v>
      </c>
      <c r="V7" s="11">
        <v>39</v>
      </c>
      <c r="W7" s="11">
        <v>5112</v>
      </c>
      <c r="X7" s="11">
        <v>5110</v>
      </c>
      <c r="Y7" s="24">
        <f t="shared" si="1"/>
        <v>10222</v>
      </c>
      <c r="Z7" s="11">
        <v>0</v>
      </c>
      <c r="AA7" s="11">
        <v>0</v>
      </c>
      <c r="AB7" s="11">
        <v>0</v>
      </c>
    </row>
    <row r="8" spans="1:28" x14ac:dyDescent="0.25">
      <c r="A8" s="1"/>
      <c r="B8" s="5" t="s">
        <v>12</v>
      </c>
      <c r="C8" s="6">
        <v>14</v>
      </c>
      <c r="D8" s="6">
        <v>933</v>
      </c>
      <c r="E8" s="6">
        <v>139</v>
      </c>
      <c r="F8" s="6">
        <v>1072</v>
      </c>
      <c r="G8" s="7">
        <v>0</v>
      </c>
      <c r="H8" s="7">
        <v>0</v>
      </c>
      <c r="I8" s="7">
        <v>0</v>
      </c>
      <c r="K8" s="5" t="s">
        <v>12</v>
      </c>
      <c r="L8" s="10">
        <v>8</v>
      </c>
      <c r="M8" s="10">
        <v>4</v>
      </c>
      <c r="N8" s="10">
        <v>8</v>
      </c>
      <c r="O8" s="10">
        <f>M8+N8</f>
        <v>12</v>
      </c>
      <c r="P8" s="11">
        <v>0</v>
      </c>
      <c r="Q8" s="11">
        <v>0</v>
      </c>
      <c r="R8" s="11">
        <v>0</v>
      </c>
      <c r="U8" s="5" t="s">
        <v>12</v>
      </c>
      <c r="V8" s="10">
        <v>147</v>
      </c>
      <c r="W8" s="10">
        <v>10959</v>
      </c>
      <c r="X8" s="10">
        <v>8446</v>
      </c>
      <c r="Y8" s="19">
        <f t="shared" si="1"/>
        <v>19405</v>
      </c>
      <c r="Z8" s="11">
        <v>18</v>
      </c>
      <c r="AA8" s="11">
        <v>0</v>
      </c>
      <c r="AB8" s="11">
        <v>0</v>
      </c>
    </row>
    <row r="9" spans="1:28" x14ac:dyDescent="0.25">
      <c r="A9" s="1"/>
      <c r="B9" s="5" t="s">
        <v>13</v>
      </c>
      <c r="C9" s="6">
        <v>2</v>
      </c>
      <c r="D9" s="6">
        <v>0</v>
      </c>
      <c r="E9" s="6">
        <v>0</v>
      </c>
      <c r="F9" s="6">
        <v>0</v>
      </c>
      <c r="G9" s="7">
        <v>0</v>
      </c>
      <c r="H9" s="7">
        <v>0</v>
      </c>
      <c r="I9" s="7">
        <v>0</v>
      </c>
      <c r="K9" s="5" t="s">
        <v>13</v>
      </c>
      <c r="L9" s="10">
        <v>6</v>
      </c>
      <c r="M9" s="10">
        <v>0</v>
      </c>
      <c r="N9" s="10">
        <v>0</v>
      </c>
      <c r="O9" s="10">
        <v>0</v>
      </c>
      <c r="P9" s="11">
        <v>0</v>
      </c>
      <c r="Q9" s="11">
        <v>0</v>
      </c>
      <c r="R9" s="11">
        <v>0</v>
      </c>
      <c r="U9" s="5" t="s">
        <v>13</v>
      </c>
      <c r="V9" s="10">
        <v>63</v>
      </c>
      <c r="W9" s="10">
        <v>47</v>
      </c>
      <c r="X9" s="10">
        <v>50</v>
      </c>
      <c r="Y9" s="19">
        <f t="shared" si="1"/>
        <v>97</v>
      </c>
      <c r="Z9" s="11">
        <v>0</v>
      </c>
      <c r="AA9" s="11">
        <v>0</v>
      </c>
      <c r="AB9" s="11">
        <v>0</v>
      </c>
    </row>
    <row r="10" spans="1:28" x14ac:dyDescent="0.25">
      <c r="A10" s="1"/>
      <c r="B10" s="1"/>
      <c r="C10" s="1"/>
      <c r="D10" s="1"/>
      <c r="E10" s="1"/>
      <c r="F10" s="1"/>
      <c r="G10" s="1"/>
      <c r="H10" s="1"/>
      <c r="I10" s="1"/>
      <c r="K10" s="1"/>
      <c r="L10" s="1"/>
      <c r="M10" s="1"/>
      <c r="N10" s="1"/>
      <c r="O10" s="1"/>
      <c r="P10" s="1"/>
      <c r="Q10" s="1"/>
      <c r="R10" s="1"/>
      <c r="U10" s="1"/>
      <c r="V10" s="1"/>
      <c r="W10" s="1"/>
      <c r="X10" s="1"/>
      <c r="Y10" s="19"/>
      <c r="Z10" s="1"/>
      <c r="AA10" s="1"/>
      <c r="AB10" s="1"/>
    </row>
    <row r="11" spans="1:28" x14ac:dyDescent="0.25">
      <c r="A11" s="1"/>
      <c r="B11" s="5" t="s">
        <v>14</v>
      </c>
      <c r="C11" s="8">
        <f>SUM(C5,C6,C7,C8,C9)</f>
        <v>84</v>
      </c>
      <c r="D11" s="8">
        <f>SUM(D5,D6,D7,D8,D9)</f>
        <v>9894</v>
      </c>
      <c r="E11" s="8">
        <f>SUM(E5,E6,E7,E8,E9)</f>
        <v>10854</v>
      </c>
      <c r="F11" s="8">
        <f>SUM(F5,F6,F7,F8,F9)</f>
        <v>20748</v>
      </c>
      <c r="G11" s="8">
        <v>0</v>
      </c>
      <c r="H11" s="8">
        <v>0</v>
      </c>
      <c r="I11" s="8">
        <v>0</v>
      </c>
      <c r="K11" s="5" t="s">
        <v>14</v>
      </c>
      <c r="L11" s="8">
        <f>L4+L8+L9</f>
        <v>70</v>
      </c>
      <c r="M11" s="8">
        <f t="shared" ref="M11:O11" si="2">M4+M8+M9</f>
        <v>8925</v>
      </c>
      <c r="N11" s="8">
        <f t="shared" si="2"/>
        <v>8914</v>
      </c>
      <c r="O11" s="8">
        <f t="shared" si="2"/>
        <v>17839</v>
      </c>
      <c r="P11" s="8">
        <v>0</v>
      </c>
      <c r="Q11" s="8">
        <v>0</v>
      </c>
      <c r="R11" s="8">
        <v>0</v>
      </c>
      <c r="U11" s="5" t="s">
        <v>14</v>
      </c>
      <c r="V11" s="8">
        <f>V4+V8+V9</f>
        <v>812</v>
      </c>
      <c r="W11" s="8">
        <f>W4+W8+W9</f>
        <v>125582</v>
      </c>
      <c r="X11" s="8">
        <f>X4+X8+X9</f>
        <v>125751</v>
      </c>
      <c r="Y11" s="19">
        <f t="shared" si="1"/>
        <v>251333</v>
      </c>
      <c r="Z11" s="8">
        <v>0</v>
      </c>
      <c r="AA11" s="8">
        <v>0</v>
      </c>
      <c r="AB11" s="8">
        <v>0</v>
      </c>
    </row>
    <row r="15" spans="1:28" x14ac:dyDescent="0.25">
      <c r="B15" s="1"/>
      <c r="C15" s="37">
        <v>45717</v>
      </c>
      <c r="D15" s="38"/>
      <c r="E15" s="38"/>
      <c r="F15" s="38"/>
      <c r="G15" s="38"/>
      <c r="H15" s="38"/>
      <c r="I15" s="38"/>
      <c r="K15" s="1"/>
      <c r="L15" s="37">
        <v>45748</v>
      </c>
      <c r="M15" s="38"/>
      <c r="N15" s="38"/>
      <c r="O15" s="38"/>
      <c r="P15" s="38"/>
      <c r="Q15" s="38"/>
      <c r="R15" s="38"/>
      <c r="U15" s="1"/>
      <c r="V15" s="37">
        <v>45901</v>
      </c>
      <c r="W15" s="38"/>
      <c r="X15" s="38"/>
      <c r="Y15" s="38"/>
      <c r="Z15" s="38"/>
      <c r="AA15" s="38"/>
      <c r="AB15" s="38"/>
    </row>
    <row r="16" spans="1:28" x14ac:dyDescent="0.25">
      <c r="B16" s="1"/>
      <c r="C16" s="2"/>
      <c r="D16" s="39" t="s">
        <v>0</v>
      </c>
      <c r="E16" s="40"/>
      <c r="F16" s="41"/>
      <c r="G16" s="42" t="s">
        <v>1</v>
      </c>
      <c r="H16" s="42"/>
      <c r="I16" s="42"/>
      <c r="K16" s="1"/>
      <c r="L16" s="2"/>
      <c r="M16" s="39" t="s">
        <v>0</v>
      </c>
      <c r="N16" s="40"/>
      <c r="O16" s="41"/>
      <c r="P16" s="42" t="s">
        <v>1</v>
      </c>
      <c r="Q16" s="42"/>
      <c r="R16" s="42"/>
      <c r="U16" s="1"/>
      <c r="V16" s="2"/>
      <c r="W16" s="39" t="s">
        <v>0</v>
      </c>
      <c r="X16" s="40"/>
      <c r="Y16" s="41"/>
      <c r="Z16" s="42" t="s">
        <v>1</v>
      </c>
      <c r="AA16" s="42"/>
      <c r="AB16" s="42"/>
    </row>
    <row r="17" spans="2:28" x14ac:dyDescent="0.25">
      <c r="B17" s="1"/>
      <c r="C17" s="3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4" t="s">
        <v>5</v>
      </c>
      <c r="K17" s="1"/>
      <c r="L17" s="3" t="s">
        <v>2</v>
      </c>
      <c r="M17" s="4" t="s">
        <v>3</v>
      </c>
      <c r="N17" s="4" t="s">
        <v>4</v>
      </c>
      <c r="O17" s="4" t="s">
        <v>5</v>
      </c>
      <c r="P17" s="4" t="s">
        <v>6</v>
      </c>
      <c r="Q17" s="4" t="s">
        <v>7</v>
      </c>
      <c r="R17" s="4" t="s">
        <v>5</v>
      </c>
      <c r="U17" s="1"/>
      <c r="V17" s="3" t="s">
        <v>2</v>
      </c>
      <c r="W17" s="4" t="s">
        <v>3</v>
      </c>
      <c r="X17" s="4" t="s">
        <v>4</v>
      </c>
      <c r="Y17" s="4" t="s">
        <v>5</v>
      </c>
      <c r="Z17" s="4" t="s">
        <v>6</v>
      </c>
      <c r="AA17" s="4" t="s">
        <v>7</v>
      </c>
      <c r="AB17" s="4" t="s">
        <v>5</v>
      </c>
    </row>
    <row r="18" spans="2:28" x14ac:dyDescent="0.25">
      <c r="B18" s="5" t="s">
        <v>8</v>
      </c>
      <c r="C18" s="13">
        <v>69</v>
      </c>
      <c r="D18" s="17">
        <v>10996</v>
      </c>
      <c r="E18" s="17">
        <v>10491</v>
      </c>
      <c r="F18" s="17">
        <v>21487</v>
      </c>
      <c r="G18" s="14">
        <v>0</v>
      </c>
      <c r="H18" s="14">
        <v>0</v>
      </c>
      <c r="I18" s="14">
        <v>0</v>
      </c>
      <c r="K18" s="5" t="s">
        <v>8</v>
      </c>
      <c r="L18" s="19">
        <v>59</v>
      </c>
      <c r="M18" s="23">
        <f>SUM(M19:M21)</f>
        <v>9985</v>
      </c>
      <c r="N18" s="23">
        <f>SUM(N19:N21)</f>
        <v>9943</v>
      </c>
      <c r="O18" s="23">
        <f>M18+N18</f>
        <v>19928</v>
      </c>
      <c r="P18" s="18">
        <v>0</v>
      </c>
      <c r="Q18" s="18">
        <v>0</v>
      </c>
      <c r="R18" s="18">
        <v>0</v>
      </c>
      <c r="U18" s="5" t="s">
        <v>8</v>
      </c>
      <c r="V18" s="36">
        <v>98</v>
      </c>
      <c r="W18" s="23">
        <v>14685</v>
      </c>
      <c r="X18" s="23">
        <v>17024</v>
      </c>
      <c r="Y18" s="23">
        <v>31709</v>
      </c>
      <c r="Z18" s="35">
        <v>0</v>
      </c>
      <c r="AA18" s="35">
        <v>0</v>
      </c>
      <c r="AB18" s="35">
        <v>0</v>
      </c>
    </row>
    <row r="19" spans="2:28" x14ac:dyDescent="0.25">
      <c r="B19" s="1" t="s">
        <v>9</v>
      </c>
      <c r="C19" s="14">
        <v>59</v>
      </c>
      <c r="D19" s="14">
        <v>9836</v>
      </c>
      <c r="E19" s="14">
        <v>9567</v>
      </c>
      <c r="F19" s="14">
        <v>19403</v>
      </c>
      <c r="G19" s="14">
        <v>0</v>
      </c>
      <c r="H19" s="14">
        <v>0</v>
      </c>
      <c r="I19" s="14">
        <v>0</v>
      </c>
      <c r="K19" s="1" t="s">
        <v>9</v>
      </c>
      <c r="L19" s="20">
        <v>51</v>
      </c>
      <c r="M19" s="20">
        <v>8804</v>
      </c>
      <c r="N19" s="20">
        <v>8640</v>
      </c>
      <c r="O19" s="23">
        <f t="shared" ref="O19:O23" si="3">M19+N19</f>
        <v>17444</v>
      </c>
      <c r="P19" s="18">
        <v>0</v>
      </c>
      <c r="Q19" s="18">
        <v>0</v>
      </c>
      <c r="R19" s="18">
        <v>0</v>
      </c>
      <c r="U19" s="1" t="s">
        <v>9</v>
      </c>
      <c r="V19" s="35">
        <v>89</v>
      </c>
      <c r="W19" s="35">
        <v>13348</v>
      </c>
      <c r="X19" s="35">
        <v>15620</v>
      </c>
      <c r="Y19" s="23">
        <v>28968</v>
      </c>
      <c r="Z19" s="35">
        <v>0</v>
      </c>
      <c r="AA19" s="35">
        <v>0</v>
      </c>
      <c r="AB19" s="35">
        <v>0</v>
      </c>
    </row>
    <row r="20" spans="2:28" x14ac:dyDescent="0.25">
      <c r="B20" s="1" t="s">
        <v>10</v>
      </c>
      <c r="C20" s="14">
        <v>5</v>
      </c>
      <c r="D20" s="16">
        <v>453</v>
      </c>
      <c r="E20" s="16">
        <v>676</v>
      </c>
      <c r="F20" s="16">
        <v>1129</v>
      </c>
      <c r="G20" s="14">
        <v>0</v>
      </c>
      <c r="H20" s="14">
        <v>0</v>
      </c>
      <c r="I20" s="14">
        <v>0</v>
      </c>
      <c r="K20" s="1" t="s">
        <v>10</v>
      </c>
      <c r="L20" s="20">
        <v>4</v>
      </c>
      <c r="M20" s="20">
        <v>609</v>
      </c>
      <c r="N20" s="20">
        <v>721</v>
      </c>
      <c r="O20" s="23">
        <f t="shared" si="3"/>
        <v>1330</v>
      </c>
      <c r="P20" s="18">
        <v>0</v>
      </c>
      <c r="Q20" s="18">
        <v>0</v>
      </c>
      <c r="R20" s="18">
        <v>0</v>
      </c>
      <c r="U20" s="1" t="s">
        <v>10</v>
      </c>
      <c r="V20" s="35">
        <v>4</v>
      </c>
      <c r="W20" s="35">
        <v>532</v>
      </c>
      <c r="X20" s="35">
        <v>599</v>
      </c>
      <c r="Y20" s="23">
        <v>1131</v>
      </c>
      <c r="Z20" s="35">
        <v>0</v>
      </c>
      <c r="AA20" s="35">
        <v>0</v>
      </c>
      <c r="AB20" s="35">
        <v>0</v>
      </c>
    </row>
    <row r="21" spans="2:28" x14ac:dyDescent="0.25">
      <c r="B21" s="1" t="s">
        <v>11</v>
      </c>
      <c r="C21" s="14">
        <v>5</v>
      </c>
      <c r="D21" s="16">
        <v>471</v>
      </c>
      <c r="E21" s="16">
        <v>484</v>
      </c>
      <c r="F21" s="16">
        <v>955</v>
      </c>
      <c r="G21" s="14">
        <v>0</v>
      </c>
      <c r="H21" s="14">
        <v>0</v>
      </c>
      <c r="I21" s="14">
        <v>0</v>
      </c>
      <c r="K21" s="1" t="s">
        <v>11</v>
      </c>
      <c r="L21" s="20">
        <v>4</v>
      </c>
      <c r="M21" s="20">
        <v>572</v>
      </c>
      <c r="N21" s="20">
        <v>582</v>
      </c>
      <c r="O21" s="23">
        <f t="shared" si="3"/>
        <v>1154</v>
      </c>
      <c r="P21" s="18">
        <v>0</v>
      </c>
      <c r="Q21" s="18">
        <v>0</v>
      </c>
      <c r="R21" s="18">
        <v>0</v>
      </c>
      <c r="U21" s="1" t="s">
        <v>11</v>
      </c>
      <c r="V21" s="35">
        <v>5</v>
      </c>
      <c r="W21" s="35">
        <v>805</v>
      </c>
      <c r="X21" s="35">
        <v>805</v>
      </c>
      <c r="Y21" s="23">
        <v>1610</v>
      </c>
      <c r="Z21" s="35">
        <v>0</v>
      </c>
      <c r="AA21" s="35">
        <v>0</v>
      </c>
      <c r="AB21" s="35">
        <v>0</v>
      </c>
    </row>
    <row r="22" spans="2:28" x14ac:dyDescent="0.25">
      <c r="B22" s="5" t="s">
        <v>12</v>
      </c>
      <c r="C22" s="13">
        <v>7</v>
      </c>
      <c r="D22" s="15">
        <v>443</v>
      </c>
      <c r="E22" s="15">
        <v>794</v>
      </c>
      <c r="F22" s="15">
        <f>SUM(D22:E22)</f>
        <v>1237</v>
      </c>
      <c r="G22" s="14">
        <v>0</v>
      </c>
      <c r="H22" s="14">
        <v>0</v>
      </c>
      <c r="I22" s="14">
        <v>0</v>
      </c>
      <c r="K22" s="5" t="s">
        <v>12</v>
      </c>
      <c r="L22" s="19">
        <v>12</v>
      </c>
      <c r="M22" s="19">
        <v>1183</v>
      </c>
      <c r="N22" s="19">
        <v>716</v>
      </c>
      <c r="O22" s="23">
        <f t="shared" si="3"/>
        <v>1899</v>
      </c>
      <c r="P22" s="18">
        <v>0</v>
      </c>
      <c r="Q22" s="18">
        <v>0</v>
      </c>
      <c r="R22" s="18">
        <v>0</v>
      </c>
      <c r="U22" s="5" t="s">
        <v>12</v>
      </c>
      <c r="V22" s="36">
        <v>34</v>
      </c>
      <c r="W22" s="36">
        <v>1604</v>
      </c>
      <c r="X22" s="36">
        <v>1077</v>
      </c>
      <c r="Y22" s="23">
        <v>2681</v>
      </c>
      <c r="Z22" s="35">
        <v>0</v>
      </c>
      <c r="AA22" s="35">
        <v>0</v>
      </c>
      <c r="AB22" s="35">
        <v>0</v>
      </c>
    </row>
    <row r="23" spans="2:28" x14ac:dyDescent="0.25">
      <c r="B23" s="5" t="s">
        <v>13</v>
      </c>
      <c r="C23" s="13">
        <v>1</v>
      </c>
      <c r="D23" s="13">
        <v>0</v>
      </c>
      <c r="E23" s="13">
        <v>0</v>
      </c>
      <c r="F23" s="13">
        <v>0</v>
      </c>
      <c r="G23" s="14">
        <v>0</v>
      </c>
      <c r="H23" s="14">
        <v>0</v>
      </c>
      <c r="I23" s="14">
        <v>0</v>
      </c>
      <c r="K23" s="5" t="s">
        <v>13</v>
      </c>
      <c r="L23" s="19">
        <v>2</v>
      </c>
      <c r="M23" s="19">
        <v>0</v>
      </c>
      <c r="N23" s="19">
        <v>0</v>
      </c>
      <c r="O23" s="23">
        <f t="shared" si="3"/>
        <v>0</v>
      </c>
      <c r="P23" s="18">
        <v>0</v>
      </c>
      <c r="Q23" s="18">
        <v>0</v>
      </c>
      <c r="R23" s="18">
        <v>0</v>
      </c>
      <c r="U23" s="5" t="s">
        <v>13</v>
      </c>
      <c r="V23" s="36">
        <v>2</v>
      </c>
      <c r="W23" s="36">
        <v>0</v>
      </c>
      <c r="X23" s="36">
        <v>0</v>
      </c>
      <c r="Y23" s="23">
        <v>0</v>
      </c>
      <c r="Z23" s="35">
        <v>0</v>
      </c>
      <c r="AA23" s="35">
        <v>0</v>
      </c>
      <c r="AB23" s="35">
        <v>0</v>
      </c>
    </row>
    <row r="24" spans="2:28" x14ac:dyDescent="0.25">
      <c r="B24" s="1"/>
      <c r="C24" s="1"/>
      <c r="D24" s="1"/>
      <c r="E24" s="1"/>
      <c r="F24" s="1"/>
      <c r="G24" s="1"/>
      <c r="H24" s="1"/>
      <c r="I24" s="1"/>
      <c r="K24" s="1"/>
      <c r="L24" s="1"/>
      <c r="M24" s="1"/>
      <c r="N24" s="1"/>
      <c r="O24" s="1"/>
      <c r="P24" s="1"/>
      <c r="Q24" s="1"/>
      <c r="R24" s="1"/>
      <c r="U24" s="1"/>
      <c r="V24" s="1"/>
      <c r="W24" s="1"/>
      <c r="X24" s="1"/>
      <c r="Y24" s="1"/>
      <c r="Z24" s="1"/>
      <c r="AA24" s="1"/>
      <c r="AB24" s="1"/>
    </row>
    <row r="25" spans="2:28" x14ac:dyDescent="0.25">
      <c r="B25" s="5" t="s">
        <v>14</v>
      </c>
      <c r="C25" s="8">
        <f>SUM(C19,C20,C21,C22,C23)</f>
        <v>77</v>
      </c>
      <c r="D25" s="8">
        <f>SUM(D19,D20,D21,D22,D23)</f>
        <v>11203</v>
      </c>
      <c r="E25" s="8">
        <f>SUM(E19,E20,E21,E22,E23)</f>
        <v>11521</v>
      </c>
      <c r="F25" s="8">
        <f>SUM(F19,F20,F21,F22,F23)</f>
        <v>22724</v>
      </c>
      <c r="G25" s="8">
        <v>0</v>
      </c>
      <c r="H25" s="8">
        <v>0</v>
      </c>
      <c r="I25" s="8">
        <v>0</v>
      </c>
      <c r="K25" s="5" t="s">
        <v>14</v>
      </c>
      <c r="L25" s="8">
        <f t="shared" ref="L25:N25" si="4">SUM(L18,L22,L23)</f>
        <v>73</v>
      </c>
      <c r="M25" s="8">
        <f t="shared" si="4"/>
        <v>11168</v>
      </c>
      <c r="N25" s="8">
        <f t="shared" si="4"/>
        <v>10659</v>
      </c>
      <c r="O25" s="8">
        <f>SUM(O18,O22,O23)</f>
        <v>21827</v>
      </c>
      <c r="P25" s="8">
        <v>0</v>
      </c>
      <c r="Q25" s="8">
        <v>0</v>
      </c>
      <c r="R25" s="8">
        <v>0</v>
      </c>
      <c r="U25" s="5" t="s">
        <v>14</v>
      </c>
      <c r="V25" s="8">
        <f t="shared" ref="V25:X25" si="5">SUM(V18,V22,V23)</f>
        <v>134</v>
      </c>
      <c r="W25" s="8">
        <f t="shared" si="5"/>
        <v>16289</v>
      </c>
      <c r="X25" s="8">
        <f t="shared" si="5"/>
        <v>18101</v>
      </c>
      <c r="Y25" s="8">
        <f>SUM(Y18,Y22,Y23)</f>
        <v>34390</v>
      </c>
      <c r="Z25" s="8">
        <v>0</v>
      </c>
      <c r="AA25" s="8">
        <v>0</v>
      </c>
      <c r="AB25" s="8">
        <v>0</v>
      </c>
    </row>
    <row r="29" spans="2:28" x14ac:dyDescent="0.25">
      <c r="B29" s="1"/>
      <c r="C29" s="37">
        <v>45778</v>
      </c>
      <c r="D29" s="38"/>
      <c r="E29" s="38"/>
      <c r="F29" s="38"/>
      <c r="G29" s="38"/>
      <c r="H29" s="38"/>
      <c r="I29" s="38"/>
      <c r="K29" s="1"/>
      <c r="L29" s="37">
        <v>45809</v>
      </c>
      <c r="M29" s="38"/>
      <c r="N29" s="38"/>
      <c r="O29" s="38"/>
      <c r="P29" s="38"/>
      <c r="Q29" s="38"/>
      <c r="R29" s="38"/>
    </row>
    <row r="30" spans="2:28" x14ac:dyDescent="0.25">
      <c r="B30" s="1"/>
      <c r="C30" s="2"/>
      <c r="D30" s="39" t="s">
        <v>0</v>
      </c>
      <c r="E30" s="40"/>
      <c r="F30" s="41"/>
      <c r="G30" s="42" t="s">
        <v>1</v>
      </c>
      <c r="H30" s="42"/>
      <c r="I30" s="42"/>
      <c r="K30" s="1"/>
      <c r="L30" s="2"/>
      <c r="M30" s="39" t="s">
        <v>0</v>
      </c>
      <c r="N30" s="40"/>
      <c r="O30" s="41"/>
      <c r="P30" s="42" t="s">
        <v>1</v>
      </c>
      <c r="Q30" s="42"/>
      <c r="R30" s="42"/>
    </row>
    <row r="31" spans="2:28" x14ac:dyDescent="0.25">
      <c r="B31" s="1"/>
      <c r="C31" s="3" t="s">
        <v>2</v>
      </c>
      <c r="D31" s="4" t="s">
        <v>3</v>
      </c>
      <c r="E31" s="4" t="s">
        <v>4</v>
      </c>
      <c r="F31" s="4" t="s">
        <v>5</v>
      </c>
      <c r="G31" s="4" t="s">
        <v>6</v>
      </c>
      <c r="H31" s="4" t="s">
        <v>7</v>
      </c>
      <c r="I31" s="4" t="s">
        <v>5</v>
      </c>
      <c r="K31" s="1"/>
      <c r="L31" s="3" t="s">
        <v>2</v>
      </c>
      <c r="M31" s="4" t="s">
        <v>3</v>
      </c>
      <c r="N31" s="4" t="s">
        <v>4</v>
      </c>
      <c r="O31" s="4" t="s">
        <v>5</v>
      </c>
      <c r="P31" s="4" t="s">
        <v>6</v>
      </c>
      <c r="Q31" s="4" t="s">
        <v>7</v>
      </c>
      <c r="R31" s="4" t="s">
        <v>5</v>
      </c>
    </row>
    <row r="32" spans="2:28" x14ac:dyDescent="0.25">
      <c r="B32" s="5" t="s">
        <v>8</v>
      </c>
      <c r="C32" s="22">
        <v>65</v>
      </c>
      <c r="D32" s="23">
        <v>11043</v>
      </c>
      <c r="E32" s="23">
        <v>10789</v>
      </c>
      <c r="F32" s="23">
        <v>21832</v>
      </c>
      <c r="G32" s="21">
        <v>0</v>
      </c>
      <c r="H32" s="21">
        <v>0</v>
      </c>
      <c r="I32" s="21">
        <v>0</v>
      </c>
      <c r="K32" s="5" t="s">
        <v>8</v>
      </c>
      <c r="L32" s="26">
        <v>88</v>
      </c>
      <c r="M32" s="23">
        <v>14490</v>
      </c>
      <c r="N32" s="23">
        <v>14469</v>
      </c>
      <c r="O32" s="23">
        <v>28959</v>
      </c>
      <c r="P32" s="25">
        <v>0</v>
      </c>
      <c r="Q32" s="25">
        <v>0</v>
      </c>
      <c r="R32" s="25">
        <v>0</v>
      </c>
    </row>
    <row r="33" spans="2:18" x14ac:dyDescent="0.25">
      <c r="B33" s="1" t="s">
        <v>9</v>
      </c>
      <c r="C33" s="21">
        <v>56</v>
      </c>
      <c r="D33" s="21">
        <v>9672</v>
      </c>
      <c r="E33" s="21">
        <v>9703</v>
      </c>
      <c r="F33" s="23">
        <v>19375</v>
      </c>
      <c r="G33" s="21">
        <v>0</v>
      </c>
      <c r="H33" s="21">
        <v>0</v>
      </c>
      <c r="I33" s="21">
        <v>0</v>
      </c>
      <c r="K33" s="1" t="s">
        <v>9</v>
      </c>
      <c r="L33" s="25">
        <v>79</v>
      </c>
      <c r="M33" s="25">
        <v>13425</v>
      </c>
      <c r="N33" s="25">
        <v>13276</v>
      </c>
      <c r="O33" s="30">
        <v>26701</v>
      </c>
      <c r="P33" s="25">
        <v>0</v>
      </c>
      <c r="Q33" s="25">
        <v>0</v>
      </c>
      <c r="R33" s="25">
        <v>0</v>
      </c>
    </row>
    <row r="34" spans="2:18" x14ac:dyDescent="0.25">
      <c r="B34" s="1" t="s">
        <v>10</v>
      </c>
      <c r="C34" s="21">
        <v>5</v>
      </c>
      <c r="D34" s="21">
        <v>830</v>
      </c>
      <c r="E34" s="21">
        <v>534</v>
      </c>
      <c r="F34" s="23">
        <v>1364</v>
      </c>
      <c r="G34" s="21">
        <v>0</v>
      </c>
      <c r="H34" s="21">
        <v>0</v>
      </c>
      <c r="I34" s="21">
        <v>0</v>
      </c>
      <c r="K34" s="1" t="s">
        <v>10</v>
      </c>
      <c r="L34" s="27">
        <v>4</v>
      </c>
      <c r="M34" s="27">
        <v>342</v>
      </c>
      <c r="N34" s="27">
        <v>561</v>
      </c>
      <c r="O34" s="27">
        <f t="shared" ref="O34" si="6">SUM(M34:N34)</f>
        <v>903</v>
      </c>
      <c r="P34" s="25">
        <v>0</v>
      </c>
      <c r="Q34" s="25">
        <v>0</v>
      </c>
      <c r="R34" s="25">
        <v>0</v>
      </c>
    </row>
    <row r="35" spans="2:18" x14ac:dyDescent="0.25">
      <c r="B35" s="1" t="s">
        <v>11</v>
      </c>
      <c r="C35" s="21">
        <v>4</v>
      </c>
      <c r="D35" s="21">
        <v>541</v>
      </c>
      <c r="E35" s="21">
        <v>552</v>
      </c>
      <c r="F35" s="23">
        <v>1093</v>
      </c>
      <c r="G35" s="21">
        <v>0</v>
      </c>
      <c r="H35" s="21">
        <v>0</v>
      </c>
      <c r="I35" s="21">
        <v>0</v>
      </c>
      <c r="K35" s="1" t="s">
        <v>11</v>
      </c>
      <c r="L35" s="27">
        <v>5</v>
      </c>
      <c r="M35" s="27">
        <v>723</v>
      </c>
      <c r="N35" s="27">
        <v>632</v>
      </c>
      <c r="O35" s="27">
        <f>SUM(M35:N35)</f>
        <v>1355</v>
      </c>
      <c r="P35" s="25">
        <v>0</v>
      </c>
      <c r="Q35" s="25">
        <v>0</v>
      </c>
      <c r="R35" s="25">
        <v>0</v>
      </c>
    </row>
    <row r="36" spans="2:18" x14ac:dyDescent="0.25">
      <c r="B36" s="5" t="s">
        <v>12</v>
      </c>
      <c r="C36" s="22">
        <v>7</v>
      </c>
      <c r="D36" s="22">
        <v>3</v>
      </c>
      <c r="E36" s="22">
        <v>9</v>
      </c>
      <c r="F36" s="23">
        <v>12</v>
      </c>
      <c r="G36" s="21">
        <v>0</v>
      </c>
      <c r="H36" s="21">
        <v>0</v>
      </c>
      <c r="I36" s="21">
        <v>0</v>
      </c>
      <c r="K36" s="5" t="s">
        <v>12</v>
      </c>
      <c r="L36" s="28">
        <v>17</v>
      </c>
      <c r="M36" s="28">
        <v>1630</v>
      </c>
      <c r="N36" s="28">
        <v>1023</v>
      </c>
      <c r="O36" s="28">
        <f>SUM(M36:N36)</f>
        <v>2653</v>
      </c>
      <c r="P36" s="25">
        <v>18</v>
      </c>
      <c r="Q36" s="25">
        <v>0</v>
      </c>
      <c r="R36" s="25">
        <v>0</v>
      </c>
    </row>
    <row r="37" spans="2:18" x14ac:dyDescent="0.25">
      <c r="B37" s="5" t="s">
        <v>13</v>
      </c>
      <c r="C37" s="22">
        <v>11</v>
      </c>
      <c r="D37" s="22">
        <v>11</v>
      </c>
      <c r="E37" s="22">
        <v>11</v>
      </c>
      <c r="F37" s="23">
        <v>22</v>
      </c>
      <c r="G37" s="21">
        <v>0</v>
      </c>
      <c r="H37" s="21">
        <v>0</v>
      </c>
      <c r="I37" s="21">
        <v>0</v>
      </c>
      <c r="K37" s="5" t="s">
        <v>13</v>
      </c>
      <c r="L37" s="28">
        <v>23</v>
      </c>
      <c r="M37" s="28">
        <v>12</v>
      </c>
      <c r="N37" s="28">
        <v>13</v>
      </c>
      <c r="O37" s="28">
        <v>25</v>
      </c>
      <c r="P37" s="25">
        <v>0</v>
      </c>
      <c r="Q37" s="25">
        <v>0</v>
      </c>
      <c r="R37" s="25">
        <v>0</v>
      </c>
    </row>
    <row r="38" spans="2:18" x14ac:dyDescent="0.25">
      <c r="B38" s="1"/>
      <c r="C38" s="1"/>
      <c r="D38" s="1"/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</row>
    <row r="39" spans="2:18" x14ac:dyDescent="0.25">
      <c r="B39" s="5" t="s">
        <v>14</v>
      </c>
      <c r="C39" s="8">
        <v>83</v>
      </c>
      <c r="D39" s="8">
        <v>11057</v>
      </c>
      <c r="E39" s="8">
        <v>10809</v>
      </c>
      <c r="F39" s="8">
        <v>21866</v>
      </c>
      <c r="G39" s="8">
        <v>0</v>
      </c>
      <c r="H39" s="8">
        <v>0</v>
      </c>
      <c r="I39" s="8">
        <v>0</v>
      </c>
      <c r="K39" s="5" t="s">
        <v>14</v>
      </c>
      <c r="L39" s="29">
        <v>128</v>
      </c>
      <c r="M39" s="29">
        <v>16132</v>
      </c>
      <c r="N39" s="29">
        <v>15505</v>
      </c>
      <c r="O39" s="29">
        <v>31637</v>
      </c>
      <c r="P39" s="8">
        <v>0</v>
      </c>
      <c r="Q39" s="8">
        <v>0</v>
      </c>
      <c r="R39" s="8">
        <v>0</v>
      </c>
    </row>
    <row r="43" spans="2:18" x14ac:dyDescent="0.25">
      <c r="B43" s="1"/>
      <c r="C43" s="37">
        <v>45839</v>
      </c>
      <c r="D43" s="38"/>
      <c r="E43" s="38"/>
      <c r="F43" s="38"/>
      <c r="G43" s="38"/>
      <c r="H43" s="38"/>
      <c r="I43" s="38"/>
      <c r="K43" s="1"/>
      <c r="L43" s="37">
        <v>45870</v>
      </c>
      <c r="M43" s="38"/>
      <c r="N43" s="38"/>
      <c r="O43" s="38"/>
      <c r="P43" s="38"/>
      <c r="Q43" s="38"/>
      <c r="R43" s="38"/>
    </row>
    <row r="44" spans="2:18" x14ac:dyDescent="0.25">
      <c r="B44" s="1"/>
      <c r="C44" s="2"/>
      <c r="D44" s="39" t="s">
        <v>0</v>
      </c>
      <c r="E44" s="40"/>
      <c r="F44" s="41"/>
      <c r="G44" s="42" t="s">
        <v>1</v>
      </c>
      <c r="H44" s="42"/>
      <c r="I44" s="42"/>
      <c r="K44" s="1"/>
      <c r="L44" s="2"/>
      <c r="M44" s="39" t="s">
        <v>0</v>
      </c>
      <c r="N44" s="40"/>
      <c r="O44" s="41"/>
      <c r="P44" s="42" t="s">
        <v>1</v>
      </c>
      <c r="Q44" s="42"/>
      <c r="R44" s="42"/>
    </row>
    <row r="45" spans="2:18" x14ac:dyDescent="0.25">
      <c r="B45" s="1"/>
      <c r="C45" s="3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7</v>
      </c>
      <c r="I45" s="4" t="s">
        <v>5</v>
      </c>
      <c r="K45" s="1"/>
      <c r="L45" s="3" t="s">
        <v>2</v>
      </c>
      <c r="M45" s="4" t="s">
        <v>3</v>
      </c>
      <c r="N45" s="4" t="s">
        <v>4</v>
      </c>
      <c r="O45" s="4" t="s">
        <v>5</v>
      </c>
      <c r="P45" s="4" t="s">
        <v>6</v>
      </c>
      <c r="Q45" s="4" t="s">
        <v>7</v>
      </c>
      <c r="R45" s="4" t="s">
        <v>5</v>
      </c>
    </row>
    <row r="46" spans="2:18" x14ac:dyDescent="0.25">
      <c r="B46" s="5" t="s">
        <v>8</v>
      </c>
      <c r="C46" s="32">
        <v>94</v>
      </c>
      <c r="D46" s="23">
        <v>18188</v>
      </c>
      <c r="E46" s="23">
        <v>14558</v>
      </c>
      <c r="F46" s="23">
        <v>32746</v>
      </c>
      <c r="G46" s="31">
        <v>0</v>
      </c>
      <c r="H46" s="31">
        <v>0</v>
      </c>
      <c r="I46" s="31">
        <v>0</v>
      </c>
      <c r="K46" s="5" t="s">
        <v>8</v>
      </c>
      <c r="L46" s="34">
        <v>103</v>
      </c>
      <c r="M46" s="23">
        <v>17543</v>
      </c>
      <c r="N46" s="23">
        <v>20124</v>
      </c>
      <c r="O46" s="23">
        <v>37667</v>
      </c>
      <c r="P46" s="33">
        <v>0</v>
      </c>
      <c r="Q46" s="33">
        <v>0</v>
      </c>
      <c r="R46" s="33">
        <v>0</v>
      </c>
    </row>
    <row r="47" spans="2:18" x14ac:dyDescent="0.25">
      <c r="B47" s="1" t="s">
        <v>9</v>
      </c>
      <c r="C47" s="31">
        <v>86</v>
      </c>
      <c r="D47" s="31">
        <v>16921</v>
      </c>
      <c r="E47" s="31">
        <v>13500</v>
      </c>
      <c r="F47" s="30">
        <v>30421</v>
      </c>
      <c r="G47" s="31">
        <v>0</v>
      </c>
      <c r="H47" s="31">
        <v>0</v>
      </c>
      <c r="I47" s="31">
        <v>0</v>
      </c>
      <c r="K47" s="1" t="s">
        <v>9</v>
      </c>
      <c r="L47" s="33">
        <v>94</v>
      </c>
      <c r="M47" s="33">
        <v>16055</v>
      </c>
      <c r="N47" s="33">
        <v>18612</v>
      </c>
      <c r="O47" s="30">
        <v>34667</v>
      </c>
      <c r="P47" s="33">
        <v>0</v>
      </c>
      <c r="Q47" s="33">
        <v>0</v>
      </c>
      <c r="R47" s="33">
        <v>0</v>
      </c>
    </row>
    <row r="48" spans="2:18" x14ac:dyDescent="0.25">
      <c r="B48" s="1" t="s">
        <v>10</v>
      </c>
      <c r="C48" s="31">
        <v>4</v>
      </c>
      <c r="D48" s="31">
        <v>655</v>
      </c>
      <c r="E48" s="31">
        <v>403</v>
      </c>
      <c r="F48" s="31">
        <f t="shared" ref="F48" si="7">SUM(D48:E48)</f>
        <v>1058</v>
      </c>
      <c r="G48" s="31">
        <v>0</v>
      </c>
      <c r="H48" s="31">
        <v>0</v>
      </c>
      <c r="I48" s="31">
        <v>0</v>
      </c>
      <c r="K48" s="1" t="s">
        <v>10</v>
      </c>
      <c r="L48" s="33">
        <v>5</v>
      </c>
      <c r="M48" s="33">
        <v>835</v>
      </c>
      <c r="N48" s="33">
        <v>796</v>
      </c>
      <c r="O48" s="33">
        <f t="shared" ref="O48" si="8">SUM(M48:N48)</f>
        <v>1631</v>
      </c>
      <c r="P48" s="33">
        <v>0</v>
      </c>
      <c r="Q48" s="33">
        <v>0</v>
      </c>
      <c r="R48" s="33">
        <v>0</v>
      </c>
    </row>
    <row r="49" spans="2:18" x14ac:dyDescent="0.25">
      <c r="B49" s="1" t="s">
        <v>11</v>
      </c>
      <c r="C49" s="31">
        <v>4</v>
      </c>
      <c r="D49" s="31">
        <v>612</v>
      </c>
      <c r="E49" s="31">
        <v>655</v>
      </c>
      <c r="F49" s="31">
        <f>SUM(D49:E49)</f>
        <v>1267</v>
      </c>
      <c r="G49" s="31">
        <v>0</v>
      </c>
      <c r="H49" s="31">
        <v>0</v>
      </c>
      <c r="I49" s="31">
        <v>0</v>
      </c>
      <c r="K49" s="1" t="s">
        <v>11</v>
      </c>
      <c r="L49" s="33">
        <v>4</v>
      </c>
      <c r="M49" s="33">
        <v>653</v>
      </c>
      <c r="N49" s="33">
        <v>716</v>
      </c>
      <c r="O49" s="33">
        <f>SUM(M49:N49)</f>
        <v>1369</v>
      </c>
      <c r="P49" s="33">
        <v>0</v>
      </c>
      <c r="Q49" s="33">
        <v>0</v>
      </c>
      <c r="R49" s="33">
        <v>0</v>
      </c>
    </row>
    <row r="50" spans="2:18" x14ac:dyDescent="0.25">
      <c r="B50" s="5" t="s">
        <v>12</v>
      </c>
      <c r="C50" s="32">
        <v>25</v>
      </c>
      <c r="D50" s="32">
        <v>2921</v>
      </c>
      <c r="E50" s="32">
        <v>2497</v>
      </c>
      <c r="F50" s="32">
        <f>SUM(D50:E50)</f>
        <v>5418</v>
      </c>
      <c r="G50" s="31">
        <v>0</v>
      </c>
      <c r="H50" s="31">
        <v>0</v>
      </c>
      <c r="I50" s="31">
        <v>0</v>
      </c>
      <c r="K50" s="5" t="s">
        <v>12</v>
      </c>
      <c r="L50" s="34">
        <v>23</v>
      </c>
      <c r="M50" s="34">
        <v>2238</v>
      </c>
      <c r="N50" s="34">
        <v>2182</v>
      </c>
      <c r="O50" s="34">
        <f>SUM(M50:N50)</f>
        <v>4420</v>
      </c>
      <c r="P50" s="33">
        <v>0</v>
      </c>
      <c r="Q50" s="33">
        <v>0</v>
      </c>
      <c r="R50" s="33">
        <v>0</v>
      </c>
    </row>
    <row r="51" spans="2:18" x14ac:dyDescent="0.25">
      <c r="B51" s="5" t="s">
        <v>13</v>
      </c>
      <c r="C51" s="32">
        <v>14</v>
      </c>
      <c r="D51" s="32">
        <v>24</v>
      </c>
      <c r="E51" s="32">
        <v>26</v>
      </c>
      <c r="F51" s="32">
        <v>50</v>
      </c>
      <c r="G51" s="31">
        <v>0</v>
      </c>
      <c r="H51" s="31">
        <v>0</v>
      </c>
      <c r="I51" s="31">
        <v>0</v>
      </c>
      <c r="K51" s="5" t="s">
        <v>13</v>
      </c>
      <c r="L51" s="34">
        <v>2</v>
      </c>
      <c r="M51" s="34">
        <v>0</v>
      </c>
      <c r="N51" s="34">
        <v>0</v>
      </c>
      <c r="O51" s="34">
        <v>0</v>
      </c>
      <c r="P51" s="33">
        <v>0</v>
      </c>
      <c r="Q51" s="33">
        <v>0</v>
      </c>
      <c r="R51" s="33">
        <v>0</v>
      </c>
    </row>
    <row r="52" spans="2:18" x14ac:dyDescent="0.25">
      <c r="B52" s="1"/>
      <c r="C52" s="1"/>
      <c r="D52" s="1"/>
      <c r="E52" s="1"/>
      <c r="F52" s="1"/>
      <c r="G52" s="1"/>
      <c r="H52" s="1"/>
      <c r="I52" s="1"/>
      <c r="K52" s="1"/>
      <c r="L52" s="1"/>
      <c r="M52" s="1"/>
      <c r="N52" s="1"/>
      <c r="O52" s="1"/>
      <c r="P52" s="1"/>
      <c r="Q52" s="1"/>
      <c r="R52" s="1"/>
    </row>
    <row r="53" spans="2:18" x14ac:dyDescent="0.25">
      <c r="B53" s="5" t="s">
        <v>14</v>
      </c>
      <c r="C53" s="29">
        <v>133</v>
      </c>
      <c r="D53" s="29">
        <v>21133</v>
      </c>
      <c r="E53" s="29">
        <v>17081</v>
      </c>
      <c r="F53" s="29">
        <v>38214</v>
      </c>
      <c r="G53" s="8">
        <v>0</v>
      </c>
      <c r="H53" s="8">
        <v>0</v>
      </c>
      <c r="I53" s="8">
        <v>0</v>
      </c>
      <c r="K53" s="5" t="s">
        <v>14</v>
      </c>
      <c r="L53" s="29">
        <v>128</v>
      </c>
      <c r="M53" s="29">
        <v>19781</v>
      </c>
      <c r="N53" s="29">
        <v>22306</v>
      </c>
      <c r="O53" s="29">
        <v>42087</v>
      </c>
      <c r="P53" s="8">
        <v>0</v>
      </c>
      <c r="Q53" s="8">
        <v>0</v>
      </c>
      <c r="R53" s="8">
        <v>0</v>
      </c>
    </row>
  </sheetData>
  <mergeCells count="30">
    <mergeCell ref="W16:Y16"/>
    <mergeCell ref="Z16:AB16"/>
    <mergeCell ref="L43:R43"/>
    <mergeCell ref="M44:O44"/>
    <mergeCell ref="P44:R44"/>
    <mergeCell ref="M16:O16"/>
    <mergeCell ref="P16:R16"/>
    <mergeCell ref="L29:R29"/>
    <mergeCell ref="M30:O30"/>
    <mergeCell ref="P30:R30"/>
    <mergeCell ref="L15:R15"/>
    <mergeCell ref="V1:AB1"/>
    <mergeCell ref="W2:Y2"/>
    <mergeCell ref="Z2:AB2"/>
    <mergeCell ref="C1:I1"/>
    <mergeCell ref="D2:F2"/>
    <mergeCell ref="G2:I2"/>
    <mergeCell ref="L1:R1"/>
    <mergeCell ref="M2:O2"/>
    <mergeCell ref="P2:R2"/>
    <mergeCell ref="V15:AB15"/>
    <mergeCell ref="C43:I43"/>
    <mergeCell ref="D44:F44"/>
    <mergeCell ref="G44:I44"/>
    <mergeCell ref="C15:I15"/>
    <mergeCell ref="D16:F16"/>
    <mergeCell ref="G16:I16"/>
    <mergeCell ref="C29:I29"/>
    <mergeCell ref="D30:F30"/>
    <mergeCell ref="G30:I30"/>
  </mergeCells>
  <pageMargins left="0.7" right="0.7" top="0.75" bottom="0.75" header="0.3" footer="0.3"/>
  <pageSetup paperSize="9" orientation="portrait" r:id="rId1"/>
  <ignoredErrors>
    <ignoredError sqref="M18:N18 O34:O3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OPC-TZL</dc:creator>
  <cp:lastModifiedBy>OPC-TZL</cp:lastModifiedBy>
  <dcterms:created xsi:type="dcterms:W3CDTF">2025-01-22T11:03:46Z</dcterms:created>
  <dcterms:modified xsi:type="dcterms:W3CDTF">2025-10-01T12:04:17Z</dcterms:modified>
</cp:coreProperties>
</file>