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2030" windowHeight="11220"/>
  </bookViews>
  <sheets>
    <sheet name="01" sheetId="1" r:id="rId1"/>
  </sheets>
  <definedNames>
    <definedName name="_xlnm.Print_Area" localSheetId="0">'01'!$A$1:$I$46</definedName>
  </definedNames>
  <calcPr calcId="152511"/>
</workbook>
</file>

<file path=xl/calcChain.xml><?xml version="1.0" encoding="utf-8"?>
<calcChain xmlns="http://schemas.openxmlformats.org/spreadsheetml/2006/main">
  <c r="G18" i="1" l="1"/>
  <c r="G17" i="1"/>
  <c r="G16" i="1"/>
  <c r="G15" i="1"/>
  <c r="E32" i="1" l="1"/>
  <c r="E38" i="1"/>
  <c r="E35" i="1" l="1"/>
  <c r="F30" i="1" l="1"/>
  <c r="E34" i="1"/>
  <c r="E36" i="1"/>
  <c r="F23" i="1"/>
  <c r="G5" i="1"/>
  <c r="G6" i="1"/>
  <c r="G7" i="1"/>
  <c r="G8" i="1"/>
  <c r="G9" i="1"/>
  <c r="G10" i="1"/>
  <c r="G11" i="1"/>
  <c r="G12" i="1"/>
  <c r="G13" i="1"/>
  <c r="G14" i="1"/>
  <c r="G19" i="1"/>
  <c r="G20" i="1"/>
  <c r="D41" i="1" l="1"/>
  <c r="F22" i="1"/>
  <c r="D40" i="1" s="1"/>
  <c r="C43" i="1" l="1"/>
</calcChain>
</file>

<file path=xl/sharedStrings.xml><?xml version="1.0" encoding="utf-8"?>
<sst xmlns="http://schemas.openxmlformats.org/spreadsheetml/2006/main" count="100" uniqueCount="50">
  <si>
    <t>1. OTHER WIZZ AIR SERVICES SOLD TO THE PASSENGERS AT AIRPORT</t>
  </si>
  <si>
    <t>Fee types</t>
  </si>
  <si>
    <t>EUR</t>
  </si>
  <si>
    <t>QTY</t>
  </si>
  <si>
    <t xml:space="preserve">Airport Check in  </t>
  </si>
  <si>
    <t>CHKA</t>
  </si>
  <si>
    <t>flight/pax</t>
  </si>
  <si>
    <t>Torba do 20KG</t>
  </si>
  <si>
    <t>BAGD</t>
  </si>
  <si>
    <t>bag/flight</t>
  </si>
  <si>
    <t>PRB</t>
  </si>
  <si>
    <t>Infant</t>
  </si>
  <si>
    <t>INF</t>
  </si>
  <si>
    <t>Missed Flight Fee</t>
  </si>
  <si>
    <t>MFF</t>
  </si>
  <si>
    <t xml:space="preserve">Name change fee </t>
  </si>
  <si>
    <t>NCHG</t>
  </si>
  <si>
    <t>SPEQ</t>
  </si>
  <si>
    <t>BAGEXC</t>
  </si>
  <si>
    <t>Ostalo</t>
  </si>
  <si>
    <t>Amount</t>
  </si>
  <si>
    <t>Fees Code</t>
  </si>
  <si>
    <t>Charged</t>
  </si>
  <si>
    <t>Valute</t>
  </si>
  <si>
    <t>2. BOOKINGS FOR WIZZ AIR FLIGHTS SOLD TO THE PAX AT AIRPORT</t>
  </si>
  <si>
    <t>Airport ticket</t>
  </si>
  <si>
    <t>No:PAX</t>
  </si>
  <si>
    <t>Sporting Equipment</t>
  </si>
  <si>
    <t>Bookings Sold / AMOUNT</t>
  </si>
  <si>
    <t>Airport remuneration (Provizija na kartu)</t>
  </si>
  <si>
    <t xml:space="preserve">Total amount for Wizz air bookings / in "SKY SPEED"/ </t>
  </si>
  <si>
    <t>Airport remunerations (dodatni aerodromski servis)</t>
  </si>
  <si>
    <t>3. PVC ZIP vrecice prodate:</t>
  </si>
  <si>
    <t>Amount for Wizz air</t>
  </si>
  <si>
    <t>Amount for Airport Tuzla</t>
  </si>
  <si>
    <t xml:space="preserve">Tootal amount </t>
  </si>
  <si>
    <t>KM</t>
  </si>
  <si>
    <t>LACBC</t>
  </si>
  <si>
    <t>LACBG</t>
  </si>
  <si>
    <t>Torba do 32 kg</t>
  </si>
  <si>
    <t>2xBagd</t>
  </si>
  <si>
    <t>Kabinska Torba na check-in</t>
  </si>
  <si>
    <t>Kabinska Torba u gate-u</t>
  </si>
  <si>
    <t>ALL AMOUNTS IN EURO</t>
  </si>
  <si>
    <t>5. Internet kodovi</t>
  </si>
  <si>
    <t>4. Higijenske Maske</t>
  </si>
  <si>
    <t>7. Dodatni Aerodromski servis</t>
  </si>
  <si>
    <t xml:space="preserve">Total Wizz air other services /in "SKY SPEED"/ </t>
  </si>
  <si>
    <t>Doplata per kg</t>
  </si>
  <si>
    <t>6. Dječija nedelja solidarnosti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</si>
</sst>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-* #,##0.00\ _k_n_-;\-* #,##0.00\ _k_n_-;_-* &quot;-&quot;??\ _k_n_-;_-@_-"/>
    <numFmt numFmtId="165" formatCode="[$€-2]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8"/>
      <color theme="1"/>
      <name val="Arial"/>
      <family val="2"/>
      <charset val="238"/>
    </font>
    <font>
      <b/>
      <sz val="8"/>
      <name val="Arial"/>
      <family val="2"/>
      <charset val="238"/>
    </font>
    <font>
      <sz val="10"/>
      <name val="Arial"/>
      <family val="2"/>
      <charset val="238"/>
    </font>
    <font>
      <b/>
      <i/>
      <sz val="7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1"/>
      <color theme="1"/>
      <name val="Calibri"/>
      <family val="2"/>
      <charset val="238"/>
      <scheme val="minor"/>
    </font>
    <font>
      <i/>
      <sz val="10"/>
      <color theme="1"/>
      <name val="Calibri"/>
      <family val="2"/>
      <charset val="238"/>
      <scheme val="minor"/>
    </font>
    <font>
      <b/>
      <sz val="10"/>
      <color theme="1"/>
      <name val="Calibri"/>
      <family val="2"/>
      <charset val="238"/>
      <scheme val="minor"/>
    </font>
    <font>
      <sz val="11"/>
      <name val="Calibri"/>
      <family val="2"/>
      <scheme val="minor"/>
    </font>
    <font>
      <sz val="7"/>
      <color theme="1"/>
      <name val="Calibri"/>
      <family val="2"/>
      <scheme val="minor"/>
    </font>
    <font>
      <b/>
      <i/>
      <sz val="10"/>
      <color theme="1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5" fontId="6" fillId="0" borderId="0"/>
    <xf numFmtId="0" fontId="3" fillId="0" borderId="0"/>
    <xf numFmtId="164" fontId="3" fillId="0" borderId="0" applyFont="0" applyFill="0" applyBorder="0" applyAlignment="0" applyProtection="0"/>
    <xf numFmtId="0" fontId="2" fillId="0" borderId="0"/>
    <xf numFmtId="0" fontId="1" fillId="0" borderId="0"/>
    <xf numFmtId="164" fontId="1" fillId="0" borderId="0" applyFont="0" applyFill="0" applyBorder="0" applyAlignment="0" applyProtection="0"/>
  </cellStyleXfs>
  <cellXfs count="60">
    <xf numFmtId="0" fontId="0" fillId="0" borderId="0" xfId="0"/>
    <xf numFmtId="0" fontId="0" fillId="3" borderId="1" xfId="0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11" fillId="2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0" fillId="5" borderId="0" xfId="0" applyFill="1"/>
    <xf numFmtId="0" fontId="4" fillId="7" borderId="1" xfId="0" applyFont="1" applyFill="1" applyBorder="1" applyAlignment="1">
      <alignment horizontal="left" vertical="center"/>
    </xf>
    <xf numFmtId="0" fontId="8" fillId="7" borderId="1" xfId="0" applyFont="1" applyFill="1" applyBorder="1" applyAlignment="1">
      <alignment horizontal="left" vertical="center"/>
    </xf>
    <xf numFmtId="4" fontId="4" fillId="7" borderId="1" xfId="1" applyNumberFormat="1" applyFont="1" applyFill="1" applyBorder="1" applyAlignment="1">
      <alignment horizontal="center" vertical="center"/>
    </xf>
    <xf numFmtId="4" fontId="10" fillId="8" borderId="1" xfId="1" applyNumberFormat="1" applyFont="1" applyFill="1" applyBorder="1" applyAlignment="1">
      <alignment horizontal="right"/>
    </xf>
    <xf numFmtId="2" fontId="11" fillId="7" borderId="1" xfId="0" applyNumberFormat="1" applyFont="1" applyFill="1" applyBorder="1" applyAlignment="1">
      <alignment horizontal="center"/>
    </xf>
    <xf numFmtId="1" fontId="11" fillId="7" borderId="1" xfId="0" applyNumberFormat="1" applyFont="1" applyFill="1" applyBorder="1" applyAlignment="1">
      <alignment horizontal="center"/>
    </xf>
    <xf numFmtId="0" fontId="0" fillId="10" borderId="1" xfId="0" applyFill="1" applyBorder="1"/>
    <xf numFmtId="0" fontId="0" fillId="10" borderId="1" xfId="0" applyFill="1" applyBorder="1" applyAlignment="1"/>
    <xf numFmtId="2" fontId="0" fillId="11" borderId="1" xfId="0" applyNumberFormat="1" applyFill="1" applyBorder="1"/>
    <xf numFmtId="0" fontId="0" fillId="8" borderId="1" xfId="0" applyFill="1" applyBorder="1"/>
    <xf numFmtId="0" fontId="13" fillId="13" borderId="5" xfId="0" applyFont="1" applyFill="1" applyBorder="1" applyAlignment="1">
      <alignment horizontal="center"/>
    </xf>
    <xf numFmtId="0" fontId="0" fillId="10" borderId="5" xfId="0" applyFill="1" applyBorder="1" applyAlignment="1"/>
    <xf numFmtId="0" fontId="17" fillId="13" borderId="1" xfId="0" applyFont="1" applyFill="1" applyBorder="1" applyAlignment="1">
      <alignment horizontal="center"/>
    </xf>
    <xf numFmtId="0" fontId="17" fillId="13" borderId="5" xfId="0" applyFont="1" applyFill="1" applyBorder="1" applyAlignment="1">
      <alignment horizontal="center"/>
    </xf>
    <xf numFmtId="0" fontId="16" fillId="5" borderId="0" xfId="0" applyFont="1" applyFill="1" applyAlignment="1">
      <alignment vertical="center" wrapText="1"/>
    </xf>
    <xf numFmtId="0" fontId="0" fillId="5" borderId="0" xfId="0" applyFill="1" applyAlignment="1">
      <alignment wrapText="1"/>
    </xf>
    <xf numFmtId="2" fontId="0" fillId="11" borderId="2" xfId="0" applyNumberFormat="1" applyFill="1" applyBorder="1" applyAlignment="1"/>
    <xf numFmtId="3" fontId="9" fillId="9" borderId="5" xfId="1" applyNumberFormat="1" applyFont="1" applyFill="1" applyBorder="1" applyAlignment="1">
      <alignment horizontal="right"/>
    </xf>
    <xf numFmtId="3" fontId="9" fillId="9" borderId="1" xfId="1" applyNumberFormat="1" applyFont="1" applyFill="1" applyBorder="1" applyAlignment="1">
      <alignment horizontal="right"/>
    </xf>
    <xf numFmtId="3" fontId="10" fillId="9" borderId="1" xfId="1" applyNumberFormat="1" applyFont="1" applyFill="1" applyBorder="1" applyAlignment="1">
      <alignment horizontal="right"/>
    </xf>
    <xf numFmtId="4" fontId="0" fillId="0" borderId="0" xfId="0" applyNumberFormat="1"/>
    <xf numFmtId="2" fontId="0" fillId="11" borderId="2" xfId="0" applyNumberFormat="1" applyFill="1" applyBorder="1" applyAlignment="1">
      <alignment horizontal="right"/>
    </xf>
    <xf numFmtId="2" fontId="0" fillId="11" borderId="3" xfId="0" applyNumberFormat="1" applyFill="1" applyBorder="1" applyAlignment="1">
      <alignment horizontal="right"/>
    </xf>
    <xf numFmtId="2" fontId="15" fillId="11" borderId="2" xfId="0" applyNumberFormat="1" applyFont="1" applyFill="1" applyBorder="1" applyAlignment="1">
      <alignment horizontal="right"/>
    </xf>
    <xf numFmtId="2" fontId="15" fillId="11" borderId="3" xfId="0" applyNumberFormat="1" applyFont="1" applyFill="1" applyBorder="1" applyAlignment="1">
      <alignment horizontal="right"/>
    </xf>
    <xf numFmtId="0" fontId="12" fillId="10" borderId="1" xfId="0" applyFont="1" applyFill="1" applyBorder="1" applyAlignment="1">
      <alignment horizontal="left"/>
    </xf>
    <xf numFmtId="0" fontId="14" fillId="10" borderId="1" xfId="0" applyFont="1" applyFill="1" applyBorder="1" applyAlignment="1">
      <alignment horizontal="left"/>
    </xf>
    <xf numFmtId="0" fontId="14" fillId="10" borderId="2" xfId="0" applyFont="1" applyFill="1" applyBorder="1" applyAlignment="1">
      <alignment horizontal="left"/>
    </xf>
    <xf numFmtId="0" fontId="14" fillId="10" borderId="3" xfId="0" applyFont="1" applyFill="1" applyBorder="1" applyAlignment="1">
      <alignment horizontal="left"/>
    </xf>
    <xf numFmtId="0" fontId="0" fillId="10" borderId="2" xfId="0" applyFill="1" applyBorder="1" applyAlignment="1">
      <alignment horizontal="left"/>
    </xf>
    <xf numFmtId="0" fontId="0" fillId="10" borderId="3" xfId="0" applyFill="1" applyBorder="1" applyAlignment="1">
      <alignment horizontal="left"/>
    </xf>
    <xf numFmtId="0" fontId="0" fillId="10" borderId="1" xfId="0" applyFill="1" applyBorder="1" applyAlignment="1">
      <alignment horizontal="left"/>
    </xf>
    <xf numFmtId="0" fontId="0" fillId="10" borderId="2" xfId="0" applyFill="1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0" borderId="3" xfId="0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9" fillId="4" borderId="2" xfId="0" applyFont="1" applyFill="1" applyBorder="1" applyAlignment="1">
      <alignment horizontal="center" vertical="center" wrapText="1"/>
    </xf>
    <xf numFmtId="0" fontId="9" fillId="4" borderId="4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vertical="center"/>
    </xf>
    <xf numFmtId="0" fontId="9" fillId="4" borderId="6" xfId="0" applyFont="1" applyFill="1" applyBorder="1" applyAlignment="1">
      <alignment horizontal="left" vertical="center"/>
    </xf>
    <xf numFmtId="0" fontId="0" fillId="2" borderId="1" xfId="0" applyFill="1" applyBorder="1" applyAlignment="1">
      <alignment horizontal="center" vertical="center" wrapText="1"/>
    </xf>
    <xf numFmtId="4" fontId="0" fillId="6" borderId="1" xfId="0" applyNumberFormat="1" applyFill="1" applyBorder="1" applyAlignment="1">
      <alignment horizontal="right"/>
    </xf>
    <xf numFmtId="0" fontId="0" fillId="6" borderId="1" xfId="0" applyFill="1" applyBorder="1" applyAlignment="1">
      <alignment horizontal="right"/>
    </xf>
    <xf numFmtId="2" fontId="0" fillId="6" borderId="1" xfId="0" applyNumberFormat="1" applyFill="1" applyBorder="1" applyAlignment="1">
      <alignment horizontal="right"/>
    </xf>
    <xf numFmtId="0" fontId="5" fillId="2" borderId="1" xfId="0" applyFont="1" applyFill="1" applyBorder="1" applyAlignment="1">
      <alignment horizontal="center" vertical="center"/>
    </xf>
    <xf numFmtId="4" fontId="5" fillId="2" borderId="2" xfId="1" applyNumberFormat="1" applyFont="1" applyFill="1" applyBorder="1" applyAlignment="1">
      <alignment horizontal="center" vertical="center"/>
    </xf>
    <xf numFmtId="4" fontId="5" fillId="2" borderId="6" xfId="1" applyNumberFormat="1" applyFont="1" applyFill="1" applyBorder="1" applyAlignment="1">
      <alignment horizontal="center" vertical="center"/>
    </xf>
    <xf numFmtId="4" fontId="5" fillId="2" borderId="5" xfId="1" applyNumberFormat="1" applyFont="1" applyFill="1" applyBorder="1" applyAlignment="1">
      <alignment horizontal="center" vertical="center"/>
    </xf>
    <xf numFmtId="4" fontId="5" fillId="2" borderId="3" xfId="1" applyNumberFormat="1" applyFont="1" applyFill="1" applyBorder="1" applyAlignment="1">
      <alignment horizontal="center" vertical="center"/>
    </xf>
    <xf numFmtId="0" fontId="0" fillId="12" borderId="2" xfId="0" applyFill="1" applyBorder="1" applyAlignment="1">
      <alignment horizontal="center"/>
    </xf>
    <xf numFmtId="0" fontId="0" fillId="12" borderId="4" xfId="0" applyFill="1" applyBorder="1" applyAlignment="1">
      <alignment horizontal="center"/>
    </xf>
    <xf numFmtId="0" fontId="0" fillId="12" borderId="3" xfId="0" applyFill="1" applyBorder="1" applyAlignment="1">
      <alignment horizontal="center"/>
    </xf>
  </cellXfs>
  <cellStyles count="7">
    <cellStyle name="%" xfId="1"/>
    <cellStyle name="Comma 2" xfId="3"/>
    <cellStyle name="Comma 2 2" xfId="6"/>
    <cellStyle name="Normal" xfId="0" builtinId="0"/>
    <cellStyle name="Normal 2" xfId="2"/>
    <cellStyle name="Normal 2 2" xfId="5"/>
    <cellStyle name="Normal 3" xfId="4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46"/>
  <sheetViews>
    <sheetView tabSelected="1" zoomScale="80" zoomScaleNormal="80" workbookViewId="0">
      <selection activeCell="F5" sqref="F5:F10"/>
    </sheetView>
  </sheetViews>
  <sheetFormatPr defaultRowHeight="15" x14ac:dyDescent="0.25"/>
  <cols>
    <col min="1" max="1" width="4.42578125" customWidth="1"/>
    <col min="2" max="2" width="25.7109375" customWidth="1"/>
    <col min="3" max="4" width="10.7109375" customWidth="1"/>
    <col min="5" max="5" width="6.7109375" customWidth="1"/>
    <col min="6" max="6" width="9.28515625" customWidth="1"/>
    <col min="7" max="7" width="9" customWidth="1"/>
    <col min="8" max="8" width="6.7109375" customWidth="1"/>
    <col min="9" max="9" width="3.7109375" customWidth="1"/>
  </cols>
  <sheetData>
    <row r="1" spans="1:9" x14ac:dyDescent="0.25">
      <c r="A1" s="6"/>
      <c r="B1" s="6"/>
      <c r="C1" s="6"/>
      <c r="D1" s="6"/>
      <c r="E1" s="6"/>
      <c r="F1" s="6"/>
      <c r="G1" s="6"/>
      <c r="H1" s="6"/>
      <c r="I1" s="6"/>
    </row>
    <row r="2" spans="1:9" x14ac:dyDescent="0.25">
      <c r="A2" s="6"/>
      <c r="B2" s="46" t="s">
        <v>0</v>
      </c>
      <c r="C2" s="46"/>
      <c r="D2" s="46"/>
      <c r="E2" s="46"/>
      <c r="F2" s="47"/>
      <c r="G2" s="46"/>
      <c r="H2" s="46"/>
      <c r="I2" s="6"/>
    </row>
    <row r="3" spans="1:9" x14ac:dyDescent="0.25">
      <c r="A3" s="6"/>
      <c r="B3" s="2" t="s">
        <v>1</v>
      </c>
      <c r="C3" s="52" t="s">
        <v>21</v>
      </c>
      <c r="D3" s="52" t="s">
        <v>22</v>
      </c>
      <c r="E3" s="53" t="s">
        <v>2</v>
      </c>
      <c r="F3" s="54" t="s">
        <v>3</v>
      </c>
      <c r="G3" s="56" t="s">
        <v>20</v>
      </c>
      <c r="H3" s="48" t="s">
        <v>23</v>
      </c>
      <c r="I3" s="6"/>
    </row>
    <row r="4" spans="1:9" x14ac:dyDescent="0.25">
      <c r="A4" s="6"/>
      <c r="B4" s="3" t="s">
        <v>43</v>
      </c>
      <c r="C4" s="52"/>
      <c r="D4" s="52"/>
      <c r="E4" s="53"/>
      <c r="F4" s="55"/>
      <c r="G4" s="56"/>
      <c r="H4" s="48"/>
      <c r="I4" s="6"/>
    </row>
    <row r="5" spans="1:9" x14ac:dyDescent="0.25">
      <c r="A5" s="6"/>
      <c r="B5" s="7" t="s">
        <v>4</v>
      </c>
      <c r="C5" s="7" t="s">
        <v>5</v>
      </c>
      <c r="D5" s="8" t="s">
        <v>6</v>
      </c>
      <c r="E5" s="9">
        <v>40</v>
      </c>
      <c r="F5" s="24">
        <v>85</v>
      </c>
      <c r="G5" s="10">
        <f>F5*E5</f>
        <v>3400</v>
      </c>
      <c r="H5" s="1" t="s">
        <v>2</v>
      </c>
      <c r="I5" s="6"/>
    </row>
    <row r="6" spans="1:9" x14ac:dyDescent="0.25">
      <c r="A6" s="6"/>
      <c r="B6" s="7" t="s">
        <v>7</v>
      </c>
      <c r="C6" s="7" t="s">
        <v>8</v>
      </c>
      <c r="D6" s="8" t="s">
        <v>9</v>
      </c>
      <c r="E6" s="9">
        <v>70</v>
      </c>
      <c r="F6" s="25">
        <v>6</v>
      </c>
      <c r="G6" s="10">
        <f>F6*E6</f>
        <v>420</v>
      </c>
      <c r="H6" s="1" t="s">
        <v>2</v>
      </c>
      <c r="I6" s="6"/>
    </row>
    <row r="7" spans="1:9" x14ac:dyDescent="0.25">
      <c r="A7" s="6"/>
      <c r="B7" s="7" t="s">
        <v>39</v>
      </c>
      <c r="C7" s="7" t="s">
        <v>40</v>
      </c>
      <c r="D7" s="8" t="s">
        <v>9</v>
      </c>
      <c r="E7" s="9">
        <v>120</v>
      </c>
      <c r="F7" s="25"/>
      <c r="G7" s="10">
        <f>F7*E7</f>
        <v>0</v>
      </c>
      <c r="H7" s="1" t="s">
        <v>2</v>
      </c>
      <c r="I7" s="6"/>
    </row>
    <row r="8" spans="1:9" x14ac:dyDescent="0.25">
      <c r="A8" s="6"/>
      <c r="B8" s="7" t="s">
        <v>41</v>
      </c>
      <c r="C8" s="7" t="s">
        <v>37</v>
      </c>
      <c r="D8" s="8" t="s">
        <v>9</v>
      </c>
      <c r="E8" s="9">
        <v>55</v>
      </c>
      <c r="F8" s="25">
        <v>18</v>
      </c>
      <c r="G8" s="10">
        <f>F8*E8</f>
        <v>990</v>
      </c>
      <c r="H8" s="1" t="s">
        <v>2</v>
      </c>
      <c r="I8" s="6"/>
    </row>
    <row r="9" spans="1:9" x14ac:dyDescent="0.25">
      <c r="A9" s="6"/>
      <c r="B9" s="7" t="s">
        <v>42</v>
      </c>
      <c r="C9" s="7" t="s">
        <v>38</v>
      </c>
      <c r="D9" s="8" t="s">
        <v>9</v>
      </c>
      <c r="E9" s="9">
        <v>65</v>
      </c>
      <c r="F9" s="25"/>
      <c r="G9" s="10">
        <f>F9*E9</f>
        <v>0</v>
      </c>
      <c r="H9" s="1" t="s">
        <v>2</v>
      </c>
      <c r="I9" s="6"/>
    </row>
    <row r="10" spans="1:9" x14ac:dyDescent="0.25">
      <c r="A10" s="6"/>
      <c r="B10" s="7" t="s">
        <v>10</v>
      </c>
      <c r="C10" s="7" t="s">
        <v>10</v>
      </c>
      <c r="D10" s="8" t="s">
        <v>6</v>
      </c>
      <c r="E10" s="9">
        <v>65</v>
      </c>
      <c r="F10" s="25">
        <v>21</v>
      </c>
      <c r="G10" s="10">
        <f>E10*F10</f>
        <v>1365</v>
      </c>
      <c r="H10" s="1" t="s">
        <v>2</v>
      </c>
      <c r="I10" s="6"/>
    </row>
    <row r="11" spans="1:9" x14ac:dyDescent="0.25">
      <c r="A11" s="6"/>
      <c r="B11" s="7" t="s">
        <v>11</v>
      </c>
      <c r="C11" s="7" t="s">
        <v>12</v>
      </c>
      <c r="D11" s="8" t="s">
        <v>6</v>
      </c>
      <c r="E11" s="9">
        <v>32</v>
      </c>
      <c r="F11" s="25"/>
      <c r="G11" s="10">
        <f>E11*F11</f>
        <v>0</v>
      </c>
      <c r="H11" s="1" t="s">
        <v>2</v>
      </c>
      <c r="I11" s="6"/>
    </row>
    <row r="12" spans="1:9" x14ac:dyDescent="0.25">
      <c r="A12" s="6"/>
      <c r="B12" s="7" t="s">
        <v>13</v>
      </c>
      <c r="C12" s="7" t="s">
        <v>14</v>
      </c>
      <c r="D12" s="8" t="s">
        <v>6</v>
      </c>
      <c r="E12" s="9">
        <v>120</v>
      </c>
      <c r="F12" s="26"/>
      <c r="G12" s="10">
        <f>E12*F12</f>
        <v>0</v>
      </c>
      <c r="H12" s="1" t="s">
        <v>2</v>
      </c>
      <c r="I12" s="6"/>
    </row>
    <row r="13" spans="1:9" x14ac:dyDescent="0.25">
      <c r="A13" s="6"/>
      <c r="B13" s="7" t="s">
        <v>15</v>
      </c>
      <c r="C13" s="7" t="s">
        <v>16</v>
      </c>
      <c r="D13" s="8" t="s">
        <v>6</v>
      </c>
      <c r="E13" s="9">
        <v>70</v>
      </c>
      <c r="F13" s="26"/>
      <c r="G13" s="10">
        <f t="shared" ref="G13:G20" si="0">E13*F13</f>
        <v>0</v>
      </c>
      <c r="H13" s="1" t="s">
        <v>2</v>
      </c>
      <c r="I13" s="6"/>
    </row>
    <row r="14" spans="1:9" x14ac:dyDescent="0.25">
      <c r="A14" s="6"/>
      <c r="B14" s="7" t="s">
        <v>27</v>
      </c>
      <c r="C14" s="7" t="s">
        <v>17</v>
      </c>
      <c r="D14" s="8" t="s">
        <v>9</v>
      </c>
      <c r="E14" s="9">
        <v>60</v>
      </c>
      <c r="F14" s="26"/>
      <c r="G14" s="10">
        <f t="shared" si="0"/>
        <v>0</v>
      </c>
      <c r="H14" s="1" t="s">
        <v>2</v>
      </c>
      <c r="I14" s="6"/>
    </row>
    <row r="15" spans="1:9" x14ac:dyDescent="0.25">
      <c r="A15" s="6"/>
      <c r="B15" s="7" t="s">
        <v>48</v>
      </c>
      <c r="C15" s="7" t="s">
        <v>18</v>
      </c>
      <c r="D15" s="8" t="s">
        <v>9</v>
      </c>
      <c r="E15" s="9">
        <v>13</v>
      </c>
      <c r="F15" s="26">
        <v>1</v>
      </c>
      <c r="G15" s="10">
        <f t="shared" si="0"/>
        <v>13</v>
      </c>
      <c r="H15" s="1" t="s">
        <v>2</v>
      </c>
      <c r="I15" s="6"/>
    </row>
    <row r="16" spans="1:9" x14ac:dyDescent="0.25">
      <c r="A16" s="6"/>
      <c r="B16" s="7" t="s">
        <v>48</v>
      </c>
      <c r="C16" s="7" t="s">
        <v>18</v>
      </c>
      <c r="D16" s="8" t="s">
        <v>9</v>
      </c>
      <c r="E16" s="9">
        <v>26</v>
      </c>
      <c r="F16" s="26">
        <v>1</v>
      </c>
      <c r="G16" s="10">
        <f t="shared" si="0"/>
        <v>26</v>
      </c>
      <c r="H16" s="1" t="s">
        <v>2</v>
      </c>
      <c r="I16" s="6"/>
    </row>
    <row r="17" spans="1:12" x14ac:dyDescent="0.25">
      <c r="A17" s="6"/>
      <c r="B17" s="7" t="s">
        <v>48</v>
      </c>
      <c r="C17" s="7" t="s">
        <v>18</v>
      </c>
      <c r="D17" s="8" t="s">
        <v>9</v>
      </c>
      <c r="E17" s="9">
        <v>39</v>
      </c>
      <c r="F17" s="25">
        <v>2</v>
      </c>
      <c r="G17" s="10">
        <f t="shared" si="0"/>
        <v>78</v>
      </c>
      <c r="H17" s="1" t="s">
        <v>2</v>
      </c>
      <c r="I17" s="6"/>
    </row>
    <row r="18" spans="1:12" x14ac:dyDescent="0.25">
      <c r="A18" s="6"/>
      <c r="B18" s="7" t="s">
        <v>48</v>
      </c>
      <c r="C18" s="7" t="s">
        <v>18</v>
      </c>
      <c r="D18" s="8" t="s">
        <v>9</v>
      </c>
      <c r="E18" s="9">
        <v>52</v>
      </c>
      <c r="F18" s="25">
        <v>3</v>
      </c>
      <c r="G18" s="10">
        <f t="shared" si="0"/>
        <v>156</v>
      </c>
      <c r="H18" s="1" t="s">
        <v>2</v>
      </c>
      <c r="I18" s="6"/>
      <c r="L18" s="27"/>
    </row>
    <row r="19" spans="1:12" x14ac:dyDescent="0.25">
      <c r="A19" s="6"/>
      <c r="B19" s="7" t="s">
        <v>48</v>
      </c>
      <c r="C19" s="7" t="s">
        <v>18</v>
      </c>
      <c r="D19" s="8" t="s">
        <v>9</v>
      </c>
      <c r="E19" s="9">
        <v>65</v>
      </c>
      <c r="F19" s="25">
        <v>1</v>
      </c>
      <c r="G19" s="10">
        <f t="shared" si="0"/>
        <v>65</v>
      </c>
      <c r="H19" s="1" t="s">
        <v>2</v>
      </c>
      <c r="I19" s="6"/>
    </row>
    <row r="20" spans="1:12" x14ac:dyDescent="0.25">
      <c r="A20" s="6"/>
      <c r="B20" s="7" t="s">
        <v>19</v>
      </c>
      <c r="C20" s="7"/>
      <c r="D20" s="8" t="s">
        <v>6</v>
      </c>
      <c r="E20" s="9">
        <v>59.53</v>
      </c>
      <c r="F20" s="25">
        <v>19</v>
      </c>
      <c r="G20" s="10">
        <f t="shared" si="0"/>
        <v>1131.07</v>
      </c>
      <c r="H20" s="1" t="s">
        <v>2</v>
      </c>
      <c r="I20" s="6"/>
    </row>
    <row r="21" spans="1:12" x14ac:dyDescent="0.25">
      <c r="A21" s="6"/>
      <c r="B21" s="6"/>
      <c r="C21" s="6"/>
      <c r="D21" s="6"/>
      <c r="E21" s="6"/>
      <c r="F21" s="6"/>
      <c r="G21" s="6"/>
      <c r="H21" s="6"/>
      <c r="I21" s="6"/>
    </row>
    <row r="22" spans="1:12" x14ac:dyDescent="0.25">
      <c r="A22" s="6"/>
      <c r="B22" s="57" t="s">
        <v>47</v>
      </c>
      <c r="C22" s="58"/>
      <c r="D22" s="58"/>
      <c r="E22" s="59"/>
      <c r="F22" s="49">
        <f>SUM(G5:G20)</f>
        <v>7644.07</v>
      </c>
      <c r="G22" s="50"/>
      <c r="H22" s="16" t="s">
        <v>2</v>
      </c>
      <c r="I22" s="6"/>
    </row>
    <row r="23" spans="1:12" x14ac:dyDescent="0.25">
      <c r="A23" s="6"/>
      <c r="B23" s="57" t="s">
        <v>31</v>
      </c>
      <c r="C23" s="58"/>
      <c r="D23" s="58"/>
      <c r="E23" s="59"/>
      <c r="F23" s="51">
        <f>SUM(F5:F20)*10</f>
        <v>1570</v>
      </c>
      <c r="G23" s="51"/>
      <c r="H23" s="16" t="s">
        <v>36</v>
      </c>
      <c r="I23" s="6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</row>
    <row r="25" spans="1:12" ht="32.1" customHeight="1" x14ac:dyDescent="0.25">
      <c r="A25" s="6"/>
      <c r="B25" s="44" t="s">
        <v>24</v>
      </c>
      <c r="C25" s="45"/>
      <c r="D25" s="6"/>
      <c r="E25" s="6"/>
      <c r="F25" s="6"/>
      <c r="G25" s="6"/>
      <c r="H25" s="6"/>
    </row>
    <row r="26" spans="1:12" x14ac:dyDescent="0.25">
      <c r="A26" s="6"/>
      <c r="B26" s="42" t="s">
        <v>25</v>
      </c>
      <c r="C26" s="43"/>
      <c r="D26" s="6"/>
      <c r="E26" s="6"/>
      <c r="F26" s="6"/>
      <c r="G26" s="6"/>
      <c r="H26" s="6"/>
    </row>
    <row r="27" spans="1:12" x14ac:dyDescent="0.25">
      <c r="A27" s="6"/>
      <c r="B27" s="4" t="s">
        <v>28</v>
      </c>
      <c r="C27" s="5" t="s">
        <v>26</v>
      </c>
      <c r="D27" s="6"/>
      <c r="E27" s="6"/>
      <c r="F27" s="6"/>
      <c r="G27" s="6"/>
      <c r="H27" s="6"/>
    </row>
    <row r="28" spans="1:12" x14ac:dyDescent="0.25">
      <c r="A28" s="6"/>
      <c r="B28" s="11">
        <v>3414.72</v>
      </c>
      <c r="C28" s="12">
        <v>25</v>
      </c>
      <c r="D28" s="6"/>
      <c r="E28" s="6"/>
      <c r="F28" s="6"/>
      <c r="G28" s="6"/>
      <c r="H28" s="6"/>
    </row>
    <row r="29" spans="1:12" x14ac:dyDescent="0.25">
      <c r="A29" s="6"/>
      <c r="B29" s="6"/>
      <c r="C29" s="6"/>
      <c r="D29" s="6"/>
      <c r="E29" s="6"/>
      <c r="F29" s="6"/>
      <c r="G29" s="6"/>
      <c r="H29" s="6"/>
      <c r="I29" s="6"/>
    </row>
    <row r="30" spans="1:12" x14ac:dyDescent="0.25">
      <c r="A30" s="6"/>
      <c r="B30" s="39" t="s">
        <v>30</v>
      </c>
      <c r="C30" s="40"/>
      <c r="D30" s="40"/>
      <c r="E30" s="41"/>
      <c r="F30" s="15">
        <f>SUM(B28:B28)</f>
        <v>3414.72</v>
      </c>
      <c r="G30" s="13" t="s">
        <v>2</v>
      </c>
      <c r="I30" s="6"/>
    </row>
    <row r="31" spans="1:12" x14ac:dyDescent="0.25">
      <c r="A31" s="6"/>
      <c r="B31" s="6"/>
      <c r="C31" s="6"/>
      <c r="D31" s="6"/>
      <c r="E31" s="6"/>
      <c r="F31" s="6"/>
      <c r="G31" s="6"/>
      <c r="H31" s="6"/>
      <c r="I31" s="6"/>
    </row>
    <row r="32" spans="1:12" x14ac:dyDescent="0.25">
      <c r="A32" s="6"/>
      <c r="B32" s="38" t="s">
        <v>29</v>
      </c>
      <c r="C32" s="38"/>
      <c r="D32" s="38"/>
      <c r="E32" s="28">
        <f>SUM(C28:C28)*30</f>
        <v>750</v>
      </c>
      <c r="F32" s="29"/>
      <c r="G32" s="13" t="s">
        <v>36</v>
      </c>
      <c r="H32" s="6"/>
      <c r="I32" s="6"/>
    </row>
    <row r="33" spans="1:9" x14ac:dyDescent="0.25">
      <c r="A33" s="6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6"/>
      <c r="B34" s="32" t="s">
        <v>32</v>
      </c>
      <c r="C34" s="32"/>
      <c r="D34" s="19">
        <v>4</v>
      </c>
      <c r="E34" s="30">
        <f>D34*5</f>
        <v>20</v>
      </c>
      <c r="F34" s="31"/>
      <c r="G34" s="14" t="s">
        <v>36</v>
      </c>
      <c r="H34" s="6"/>
      <c r="I34" s="6"/>
    </row>
    <row r="35" spans="1:9" x14ac:dyDescent="0.25">
      <c r="A35" s="6"/>
      <c r="B35" s="34" t="s">
        <v>45</v>
      </c>
      <c r="C35" s="35"/>
      <c r="D35" s="19"/>
      <c r="E35" s="30">
        <f>D35*1</f>
        <v>0</v>
      </c>
      <c r="F35" s="31"/>
      <c r="G35" s="14" t="s">
        <v>36</v>
      </c>
      <c r="H35" s="6"/>
      <c r="I35" s="6"/>
    </row>
    <row r="36" spans="1:9" x14ac:dyDescent="0.25">
      <c r="A36" s="6"/>
      <c r="B36" s="33" t="s">
        <v>44</v>
      </c>
      <c r="C36" s="33"/>
      <c r="D36" s="19">
        <v>394</v>
      </c>
      <c r="E36" s="30">
        <f>D36*3</f>
        <v>1182</v>
      </c>
      <c r="F36" s="31"/>
      <c r="G36" s="14" t="s">
        <v>36</v>
      </c>
      <c r="H36" s="6"/>
      <c r="I36" s="6"/>
    </row>
    <row r="37" spans="1:9" x14ac:dyDescent="0.25">
      <c r="A37" s="6"/>
      <c r="B37" s="34" t="s">
        <v>49</v>
      </c>
      <c r="C37" s="35"/>
      <c r="D37" s="20"/>
      <c r="E37" s="30">
        <v>144.47999999999999</v>
      </c>
      <c r="F37" s="31"/>
      <c r="G37" s="14" t="s">
        <v>36</v>
      </c>
      <c r="H37" s="6"/>
      <c r="I37" s="6"/>
    </row>
    <row r="38" spans="1:9" x14ac:dyDescent="0.25">
      <c r="A38" s="6"/>
      <c r="B38" s="34" t="s">
        <v>46</v>
      </c>
      <c r="C38" s="35"/>
      <c r="D38" s="17">
        <v>7</v>
      </c>
      <c r="E38" s="30">
        <f>D38*10</f>
        <v>70</v>
      </c>
      <c r="F38" s="31"/>
      <c r="G38" s="18" t="s">
        <v>36</v>
      </c>
      <c r="H38" s="6"/>
      <c r="I38" s="6"/>
    </row>
    <row r="39" spans="1:9" ht="15.75" customHeight="1" x14ac:dyDescent="0.25">
      <c r="A39" s="6"/>
      <c r="B39" s="6"/>
      <c r="C39" s="6"/>
      <c r="D39" s="6"/>
      <c r="E39" s="6"/>
      <c r="F39" s="6"/>
      <c r="G39" s="6"/>
      <c r="H39" s="6"/>
      <c r="I39" s="21"/>
    </row>
    <row r="40" spans="1:9" x14ac:dyDescent="0.25">
      <c r="A40" s="6"/>
      <c r="B40" s="36" t="s">
        <v>33</v>
      </c>
      <c r="C40" s="37"/>
      <c r="D40" s="23">
        <f>F30+F22</f>
        <v>11058.789999999999</v>
      </c>
      <c r="E40" s="13" t="s">
        <v>2</v>
      </c>
      <c r="F40" s="6"/>
      <c r="G40" s="22"/>
      <c r="H40" s="22"/>
      <c r="I40" s="22"/>
    </row>
    <row r="41" spans="1:9" x14ac:dyDescent="0.25">
      <c r="A41" s="6"/>
      <c r="B41" s="36" t="s">
        <v>34</v>
      </c>
      <c r="C41" s="37"/>
      <c r="D41" s="23">
        <f>E34+E35+E36+E37+E38+E32+F23</f>
        <v>3736.48</v>
      </c>
      <c r="E41" s="13" t="s">
        <v>36</v>
      </c>
      <c r="F41" s="6"/>
      <c r="G41" s="22"/>
      <c r="H41" s="22"/>
      <c r="I41" s="22"/>
    </row>
    <row r="42" spans="1:9" x14ac:dyDescent="0.25">
      <c r="A42" s="6"/>
      <c r="B42" s="6"/>
      <c r="C42" s="6"/>
      <c r="D42" s="6"/>
      <c r="E42" s="6"/>
      <c r="F42" s="6"/>
      <c r="G42" s="22"/>
      <c r="H42" s="22"/>
      <c r="I42" s="22"/>
    </row>
    <row r="43" spans="1:9" x14ac:dyDescent="0.25">
      <c r="A43" s="6"/>
      <c r="B43" s="13" t="s">
        <v>35</v>
      </c>
      <c r="C43" s="28">
        <f>D40*1.95583+D41</f>
        <v>25365.593245699998</v>
      </c>
      <c r="D43" s="29"/>
      <c r="E43" s="13" t="s">
        <v>36</v>
      </c>
      <c r="F43" s="6"/>
      <c r="G43" s="22"/>
      <c r="H43" s="22"/>
      <c r="I43" s="22"/>
    </row>
    <row r="44" spans="1:9" x14ac:dyDescent="0.25">
      <c r="A44" s="6"/>
      <c r="B44" s="6"/>
      <c r="C44" s="6"/>
      <c r="D44" s="6"/>
      <c r="E44" s="6"/>
      <c r="F44" s="6"/>
      <c r="G44" s="6"/>
      <c r="H44" s="6"/>
      <c r="I44" s="6"/>
    </row>
    <row r="45" spans="1:9" x14ac:dyDescent="0.25">
      <c r="A45" s="6"/>
      <c r="B45" s="6"/>
      <c r="C45" s="6"/>
      <c r="D45" s="6"/>
      <c r="E45" s="6"/>
      <c r="F45" s="6"/>
      <c r="G45" s="6"/>
      <c r="H45" s="6"/>
      <c r="I45" s="6"/>
    </row>
    <row r="46" spans="1:9" x14ac:dyDescent="0.25">
      <c r="A46" s="6"/>
      <c r="E46" s="6"/>
      <c r="F46" s="6"/>
      <c r="G46" s="6"/>
      <c r="H46" s="6"/>
      <c r="I46" s="6"/>
    </row>
  </sheetData>
  <mergeCells count="29">
    <mergeCell ref="B25:C25"/>
    <mergeCell ref="B2:H2"/>
    <mergeCell ref="H3:H4"/>
    <mergeCell ref="F22:G22"/>
    <mergeCell ref="F23:G23"/>
    <mergeCell ref="C3:C4"/>
    <mergeCell ref="E3:E4"/>
    <mergeCell ref="F3:F4"/>
    <mergeCell ref="G3:G4"/>
    <mergeCell ref="D3:D4"/>
    <mergeCell ref="B22:E22"/>
    <mergeCell ref="B23:E23"/>
    <mergeCell ref="E32:F32"/>
    <mergeCell ref="B35:C35"/>
    <mergeCell ref="B32:D32"/>
    <mergeCell ref="B30:E30"/>
    <mergeCell ref="B26:C26"/>
    <mergeCell ref="C43:D43"/>
    <mergeCell ref="E34:F34"/>
    <mergeCell ref="E38:F38"/>
    <mergeCell ref="E36:F36"/>
    <mergeCell ref="B34:C34"/>
    <mergeCell ref="B36:C36"/>
    <mergeCell ref="B38:C38"/>
    <mergeCell ref="E37:F37"/>
    <mergeCell ref="E35:F35"/>
    <mergeCell ref="B41:C41"/>
    <mergeCell ref="B40:C40"/>
    <mergeCell ref="B37:C37"/>
  </mergeCells>
  <pageMargins left="0.7" right="0.7" top="0.75" bottom="0.75" header="0.3" footer="0.3"/>
  <pageSetup scale="61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01</vt:lpstr>
      <vt:lpstr>'01'!Print_Area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2025-12-04T05:39:45Z</dcterms:modified>
</cp:coreProperties>
</file>