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01" sheetId="1" state="visible" r:id="rId1"/>
  </sheets>
  <definedNames>
    <definedName name="_xlnm.Print_Area" localSheetId="0">'01'!$A$1:$Y$77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€-2]\ #,##0"/>
    <numFmt numFmtId="165" formatCode="_-* #,##0.00\ _k_n_-;\-* #,##0.00\ _k_n_-;_-* &quot;-&quot;??\ _k_n_-;_-@_-"/>
  </numFmts>
  <fonts count="19">
    <font>
      <name val="Calibri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Arial"/>
      <charset val="238"/>
      <family val="2"/>
      <b val="1"/>
      <color theme="1"/>
      <sz val="8"/>
    </font>
    <font>
      <name val="Arial"/>
      <charset val="238"/>
      <family val="2"/>
      <b val="1"/>
      <sz val="8"/>
    </font>
    <font>
      <name val="Arial"/>
      <charset val="238"/>
      <family val="2"/>
      <sz val="10"/>
    </font>
    <font>
      <name val="Arial"/>
      <charset val="238"/>
      <family val="2"/>
      <b val="1"/>
      <i val="1"/>
      <sz val="7"/>
    </font>
    <font>
      <name val="Arial"/>
      <charset val="238"/>
      <family val="2"/>
      <b val="1"/>
      <color theme="1"/>
      <sz val="9"/>
    </font>
    <font>
      <name val="Arial"/>
      <charset val="238"/>
      <family val="2"/>
      <b val="1"/>
      <color theme="1"/>
      <sz val="10"/>
    </font>
    <font>
      <name val="Arial"/>
      <charset val="238"/>
      <family val="2"/>
      <color theme="1"/>
      <sz val="10"/>
    </font>
    <font>
      <name val="Arial"/>
      <charset val="238"/>
      <family val="2"/>
      <b val="1"/>
      <sz val="9"/>
    </font>
    <font>
      <name val="Calibri"/>
      <charset val="238"/>
      <family val="2"/>
      <b val="1"/>
      <color theme="1"/>
      <sz val="11"/>
      <scheme val="minor"/>
    </font>
    <font>
      <name val="Calibri"/>
      <charset val="238"/>
      <family val="2"/>
      <i val="1"/>
      <color theme="1"/>
      <sz val="10"/>
      <scheme val="minor"/>
    </font>
    <font>
      <name val="Calibri"/>
      <charset val="238"/>
      <family val="2"/>
      <b val="1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color theme="1"/>
      <sz val="7"/>
      <scheme val="minor"/>
    </font>
    <font>
      <name val="Calibri"/>
      <family val="2"/>
      <b val="1"/>
      <color theme="1"/>
      <sz val="11"/>
      <scheme val="minor"/>
    </font>
    <font>
      <name val="Calibri"/>
      <charset val="238"/>
      <family val="2"/>
      <b val="1"/>
      <i val="1"/>
      <color theme="1"/>
      <sz val="10"/>
      <scheme val="minor"/>
    </font>
  </fonts>
  <fills count="1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164" fontId="6" fillId="0" borderId="0"/>
    <xf numFmtId="0" fontId="3" fillId="0" borderId="0"/>
    <xf numFmtId="165" fontId="3" fillId="0" borderId="0"/>
    <xf numFmtId="0" fontId="3" fillId="0" borderId="0"/>
    <xf numFmtId="0" fontId="3" fillId="0" borderId="0"/>
    <xf numFmtId="165" fontId="3" fillId="0" borderId="0"/>
  </cellStyleXfs>
  <cellXfs count="82">
    <xf numFmtId="0" fontId="0" fillId="0" borderId="0" pivotButton="0" quotePrefix="0" xfId="0"/>
    <xf numFmtId="0" fontId="0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/>
    </xf>
    <xf numFmtId="0" fontId="11" fillId="2" borderId="1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0" fillId="5" borderId="0" pivotButton="0" quotePrefix="0" xfId="0"/>
    <xf numFmtId="0" fontId="4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4" fontId="4" fillId="7" borderId="1" applyAlignment="1" pivotButton="0" quotePrefix="0" xfId="1">
      <alignment horizontal="center" vertical="center"/>
    </xf>
    <xf numFmtId="4" fontId="10" fillId="8" borderId="1" applyAlignment="1" pivotButton="0" quotePrefix="0" xfId="1">
      <alignment horizontal="right"/>
    </xf>
    <xf numFmtId="3" fontId="9" fillId="9" borderId="5" applyAlignment="1" pivotButton="0" quotePrefix="0" xfId="1">
      <alignment horizontal="right"/>
    </xf>
    <xf numFmtId="3" fontId="9" fillId="9" borderId="1" applyAlignment="1" pivotButton="0" quotePrefix="0" xfId="1">
      <alignment horizontal="right"/>
    </xf>
    <xf numFmtId="3" fontId="10" fillId="9" borderId="1" applyAlignment="1" pivotButton="0" quotePrefix="0" xfId="1">
      <alignment horizontal="right"/>
    </xf>
    <xf numFmtId="2" fontId="11" fillId="7" borderId="1" applyAlignment="1" pivotButton="0" quotePrefix="0" xfId="0">
      <alignment horizontal="center"/>
    </xf>
    <xf numFmtId="1" fontId="11" fillId="7" borderId="1" applyAlignment="1" pivotButton="0" quotePrefix="0" xfId="0">
      <alignment horizontal="center"/>
    </xf>
    <xf numFmtId="0" fontId="0" fillId="10" borderId="1" pivotButton="0" quotePrefix="0" xfId="0"/>
    <xf numFmtId="2" fontId="0" fillId="11" borderId="1" pivotButton="0" quotePrefix="0" xfId="0"/>
    <xf numFmtId="0" fontId="0" fillId="8" borderId="1" pivotButton="0" quotePrefix="0" xfId="0"/>
    <xf numFmtId="0" fontId="17" fillId="7" borderId="1" applyAlignment="1" pivotButton="0" quotePrefix="0" xfId="0">
      <alignment horizontal="center" vertical="center"/>
    </xf>
    <xf numFmtId="0" fontId="13" fillId="13" borderId="5" applyAlignment="1" pivotButton="0" quotePrefix="0" xfId="0">
      <alignment horizontal="center"/>
    </xf>
    <xf numFmtId="0" fontId="0" fillId="10" borderId="5" pivotButton="0" quotePrefix="0" xfId="0"/>
    <xf numFmtId="0" fontId="18" fillId="13" borderId="1" applyAlignment="1" pivotButton="0" quotePrefix="0" xfId="0">
      <alignment horizontal="center"/>
    </xf>
    <xf numFmtId="0" fontId="18" fillId="13" borderId="5" applyAlignment="1" pivotButton="0" quotePrefix="0" xfId="0">
      <alignment horizontal="center"/>
    </xf>
    <xf numFmtId="0" fontId="16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wrapText="1"/>
    </xf>
    <xf numFmtId="2" fontId="0" fillId="11" borderId="2" pivotButton="0" quotePrefix="0" xfId="0"/>
    <xf numFmtId="2" fontId="17" fillId="7" borderId="1" applyAlignment="1" pivotButton="0" quotePrefix="0" xfId="0">
      <alignment horizontal="center" vertical="center"/>
    </xf>
    <xf numFmtId="14" fontId="0" fillId="5" borderId="0" pivotButton="0" quotePrefix="0" xfId="0"/>
    <xf numFmtId="0" fontId="0" fillId="12" borderId="2" applyAlignment="1" pivotButton="0" quotePrefix="0" xfId="0">
      <alignment horizontal="center"/>
    </xf>
    <xf numFmtId="0" fontId="0" fillId="12" borderId="4" applyAlignment="1" pivotButton="0" quotePrefix="0" xfId="0">
      <alignment horizontal="center"/>
    </xf>
    <xf numFmtId="0" fontId="0" fillId="12" borderId="3" applyAlignment="1" pivotButton="0" quotePrefix="0" xfId="0">
      <alignment horizontal="center"/>
    </xf>
    <xf numFmtId="4" fontId="0" fillId="6" borderId="1" applyAlignment="1" pivotButton="0" quotePrefix="0" xfId="0">
      <alignment horizontal="right"/>
    </xf>
    <xf numFmtId="0" fontId="0" fillId="6" borderId="1" applyAlignment="1" pivotButton="0" quotePrefix="0" xfId="0">
      <alignment horizontal="right"/>
    </xf>
    <xf numFmtId="2" fontId="0" fillId="6" borderId="1" applyAlignment="1" pivotButton="0" quotePrefix="0" xfId="0">
      <alignment horizontal="right"/>
    </xf>
    <xf numFmtId="0" fontId="0" fillId="10" borderId="2" applyAlignment="1" pivotButton="0" quotePrefix="0" xfId="0">
      <alignment horizontal="center"/>
    </xf>
    <xf numFmtId="0" fontId="0" fillId="10" borderId="4" applyAlignment="1" pivotButton="0" quotePrefix="0" xfId="0">
      <alignment horizontal="center"/>
    </xf>
    <xf numFmtId="0" fontId="0" fillId="10" borderId="3" applyAlignment="1" pivotButton="0" quotePrefix="0" xfId="0">
      <alignment horizontal="center"/>
    </xf>
    <xf numFmtId="0" fontId="9" fillId="4" borderId="2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/>
    </xf>
    <xf numFmtId="0" fontId="11" fillId="2" borderId="4" applyAlignment="1" pivotButton="0" quotePrefix="0" xfId="0">
      <alignment horizontal="center"/>
    </xf>
    <xf numFmtId="0" fontId="11" fillId="2" borderId="3" applyAlignment="1" pivotButton="0" quotePrefix="0" xfId="0">
      <alignment horizontal="center"/>
    </xf>
    <xf numFmtId="0" fontId="9" fillId="4" borderId="1" applyAlignment="1" pivotButton="0" quotePrefix="0" xfId="0">
      <alignment horizontal="left" vertical="center"/>
    </xf>
    <xf numFmtId="0" fontId="9" fillId="4" borderId="6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4" fontId="5" fillId="2" borderId="2" applyAlignment="1" pivotButton="0" quotePrefix="0" xfId="1">
      <alignment horizontal="center" vertical="center"/>
    </xf>
    <xf numFmtId="4" fontId="5" fillId="2" borderId="6" applyAlignment="1" pivotButton="0" quotePrefix="0" xfId="1">
      <alignment horizontal="center" vertical="center"/>
    </xf>
    <xf numFmtId="4" fontId="5" fillId="2" borderId="5" applyAlignment="1" pivotButton="0" quotePrefix="0" xfId="1">
      <alignment horizontal="center" vertical="center"/>
    </xf>
    <xf numFmtId="4" fontId="5" fillId="2" borderId="3" applyAlignment="1" pivotButton="0" quotePrefix="0" xfId="1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2" fontId="0" fillId="11" borderId="2" applyAlignment="1" pivotButton="0" quotePrefix="0" xfId="0">
      <alignment horizontal="right"/>
    </xf>
    <xf numFmtId="2" fontId="0" fillId="11" borderId="3" applyAlignment="1" pivotButton="0" quotePrefix="0" xfId="0">
      <alignment horizontal="right"/>
    </xf>
    <xf numFmtId="0" fontId="14" fillId="10" borderId="2" applyAlignment="1" pivotButton="0" quotePrefix="0" xfId="0">
      <alignment horizontal="left"/>
    </xf>
    <xf numFmtId="0" fontId="14" fillId="10" borderId="3" applyAlignment="1" pivotButton="0" quotePrefix="0" xfId="0">
      <alignment horizontal="left"/>
    </xf>
    <xf numFmtId="0" fontId="0" fillId="10" borderId="1" applyAlignment="1" pivotButton="0" quotePrefix="0" xfId="0">
      <alignment horizontal="left"/>
    </xf>
    <xf numFmtId="2" fontId="15" fillId="11" borderId="2" applyAlignment="1" pivotButton="0" quotePrefix="0" xfId="0">
      <alignment horizontal="right"/>
    </xf>
    <xf numFmtId="2" fontId="15" fillId="11" borderId="3" applyAlignment="1" pivotButton="0" quotePrefix="0" xfId="0">
      <alignment horizontal="right"/>
    </xf>
    <xf numFmtId="0" fontId="12" fillId="10" borderId="1" applyAlignment="1" pivotButton="0" quotePrefix="0" xfId="0">
      <alignment horizontal="left"/>
    </xf>
    <xf numFmtId="0" fontId="14" fillId="10" borderId="1" applyAlignment="1" pivotButton="0" quotePrefix="0" xfId="0">
      <alignment horizontal="left"/>
    </xf>
    <xf numFmtId="0" fontId="0" fillId="10" borderId="2" applyAlignment="1" pivotButton="0" quotePrefix="0" xfId="0">
      <alignment horizontal="left"/>
    </xf>
    <xf numFmtId="0" fontId="0" fillId="10" borderId="3" applyAlignment="1" pivotButton="0" quotePrefix="0" xfId="0">
      <alignment horizontal="left"/>
    </xf>
    <xf numFmtId="0" fontId="0" fillId="0" borderId="4" pivotButton="0" quotePrefix="0" xfId="0"/>
    <xf numFmtId="0" fontId="0" fillId="0" borderId="3" pivotButton="0" quotePrefix="0" xfId="0"/>
    <xf numFmtId="4" fontId="5" fillId="2" borderId="1" applyAlignment="1" pivotButton="0" quotePrefix="0" xfId="1">
      <alignment horizontal="center" vertical="center"/>
    </xf>
    <xf numFmtId="4" fontId="5" fillId="2" borderId="2" applyAlignment="1" pivotButton="0" quotePrefix="0" xfId="0">
      <alignment horizontal="center" vertical="center"/>
    </xf>
    <xf numFmtId="4" fontId="5" fillId="2" borderId="1" applyAlignment="1" pivotButton="0" quotePrefix="0" xfId="0">
      <alignment horizontal="center" vertical="center"/>
    </xf>
    <xf numFmtId="4" fontId="5" fillId="2" borderId="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1" pivotButton="0" quotePrefix="0" xfId="0"/>
    <xf numFmtId="0" fontId="0" fillId="0" borderId="13" pivotButton="0" quotePrefix="0" xfId="0"/>
    <xf numFmtId="4" fontId="4" fillId="7" borderId="1" applyAlignment="1" pivotButton="0" quotePrefix="0" xfId="0">
      <alignment horizontal="center" vertical="center"/>
    </xf>
    <xf numFmtId="3" fontId="9" fillId="9" borderId="5" applyAlignment="1" pivotButton="0" quotePrefix="0" xfId="0">
      <alignment horizontal="right"/>
    </xf>
    <xf numFmtId="4" fontId="10" fillId="8" borderId="1" applyAlignment="1" pivotButton="0" quotePrefix="0" xfId="0">
      <alignment horizontal="right"/>
    </xf>
    <xf numFmtId="3" fontId="9" fillId="9" borderId="1" applyAlignment="1" pivotButton="0" quotePrefix="0" xfId="0">
      <alignment horizontal="right"/>
    </xf>
    <xf numFmtId="3" fontId="10" fillId="9" borderId="1" applyAlignment="1" pivotButton="0" quotePrefix="0" xfId="0">
      <alignment horizontal="right"/>
    </xf>
    <xf numFmtId="0" fontId="0" fillId="12" borderId="1" applyAlignment="1" pivotButton="0" quotePrefix="0" xfId="0">
      <alignment horizontal="center"/>
    </xf>
    <xf numFmtId="0" fontId="9" fillId="4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/>
    </xf>
    <xf numFmtId="2" fontId="0" fillId="11" borderId="1" applyAlignment="1" pivotButton="0" quotePrefix="0" xfId="0">
      <alignment horizontal="right"/>
    </xf>
    <xf numFmtId="2" fontId="15" fillId="11" borderId="1" applyAlignment="1" pivotButton="0" quotePrefix="0" xfId="0">
      <alignment horizontal="right"/>
    </xf>
  </cellXfs>
  <cellStyles count="7">
    <cellStyle name="Normal" xfId="0" builtinId="0"/>
    <cellStyle name="%" xfId="1"/>
    <cellStyle name="Normal 2" xfId="2"/>
    <cellStyle name="Comma 2" xfId="3"/>
    <cellStyle name="Normal 3" xfId="4"/>
    <cellStyle name="Normal 2 2" xfId="5"/>
    <cellStyle name="Comma 2 2" xfId="6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L77"/>
  <sheetViews>
    <sheetView tabSelected="1" topLeftCell="A37" zoomScale="80" zoomScaleNormal="80" workbookViewId="0">
      <selection activeCell="D66" sqref="D66"/>
    </sheetView>
  </sheetViews>
  <sheetFormatPr baseColWidth="8" defaultRowHeight="15"/>
  <cols>
    <col width="4.42578125" customWidth="1" min="1" max="1"/>
    <col width="25.7109375" customWidth="1" min="2" max="2"/>
    <col width="10.7109375" customWidth="1" min="3" max="4"/>
    <col width="6.7109375" customWidth="1" min="5" max="8"/>
    <col width="3.7109375" customWidth="1" min="9" max="9"/>
    <col width="25.7109375" customWidth="1" min="10" max="10"/>
    <col width="10.7109375" customWidth="1" min="11" max="12"/>
    <col width="7.7109375" customWidth="1" min="13" max="16"/>
    <col width="3.7109375" customWidth="1" min="17" max="17"/>
    <col width="25.7109375" customWidth="1" min="18" max="18"/>
    <col width="10.7109375" customWidth="1" min="19" max="20"/>
    <col width="7.7109375" customWidth="1" min="21" max="24"/>
    <col width="25.7109375" customWidth="1" min="26" max="26"/>
    <col width="10.7109375" customWidth="1" min="27" max="27"/>
    <col width="7.7109375" customWidth="1" min="29" max="29"/>
    <col width="25.7109375" customWidth="1" min="34" max="34"/>
    <col width="10.7109375" customWidth="1" min="35" max="35"/>
    <col width="7.7109375" customWidth="1" min="37" max="37"/>
    <col width="25.7109375" customWidth="1" min="42" max="42"/>
    <col width="10.7109375" customWidth="1" min="43" max="43"/>
    <col width="7.7109375" customWidth="1" min="45" max="45"/>
    <col width="25.7109375" customWidth="1" min="50" max="50"/>
    <col width="10.7109375" customWidth="1" min="51" max="51"/>
    <col width="7.7109375" customWidth="1" min="53" max="53"/>
    <col width="25.7109375" customWidth="1" min="58" max="58"/>
    <col width="10.7109375" customWidth="1" min="59" max="59"/>
    <col width="7.7109375" customWidth="1" min="61" max="61"/>
  </cols>
  <sheetData>
    <row r="1">
      <c r="A1" s="6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</row>
    <row r="2">
      <c r="A2" s="6" t="n"/>
      <c r="B2" s="44" t="inlineStr">
        <is>
          <t>1. OTHER WIZZ AIR SERVICES SOLD TO THE PASSENGERS AT AIRPORT</t>
        </is>
      </c>
      <c r="C2" s="63" t="n"/>
      <c r="D2" s="63" t="n"/>
      <c r="E2" s="63" t="n"/>
      <c r="F2" s="63" t="n"/>
      <c r="G2" s="63" t="n"/>
      <c r="H2" s="64" t="n"/>
      <c r="I2" s="6" t="n"/>
      <c r="J2" s="44" t="inlineStr">
        <is>
          <t>1. OTHER PEGASUS SERVICES SOLD TO THE PASSENGERS AT AIRPORT</t>
        </is>
      </c>
      <c r="K2" s="63" t="n"/>
      <c r="L2" s="63" t="n"/>
      <c r="M2" s="63" t="n"/>
      <c r="N2" s="63" t="n"/>
      <c r="O2" s="63" t="n"/>
      <c r="P2" s="64" t="n"/>
      <c r="Q2" s="6" t="n"/>
      <c r="R2" s="44" t="inlineStr">
        <is>
          <t>1. OTHER Ajet SERVICES SOLD TO THE PASSENGERS AT AIRPORT</t>
        </is>
      </c>
      <c r="S2" s="63" t="n"/>
      <c r="T2" s="63" t="n"/>
      <c r="U2" s="63" t="n"/>
      <c r="V2" s="63" t="n"/>
      <c r="W2" s="63" t="n"/>
      <c r="X2" s="64" t="n"/>
      <c r="Z2" s="44" t="inlineStr">
        <is>
          <t>1. OTHER Ajet SERVICES SOLD TO THE PASSENGERS AT AIRPORT</t>
        </is>
      </c>
      <c r="AA2" s="63" t="n"/>
      <c r="AB2" s="63" t="n"/>
      <c r="AC2" s="63" t="n"/>
      <c r="AD2" s="63" t="n"/>
      <c r="AE2" s="63" t="n"/>
      <c r="AF2" s="64" t="n"/>
      <c r="AH2" s="44" t="inlineStr">
        <is>
          <t>1. OTHER Ajet SERVICES SOLD TO THE PASSENGERS AT AIRPORT</t>
        </is>
      </c>
      <c r="AI2" s="63" t="n"/>
      <c r="AJ2" s="63" t="n"/>
      <c r="AK2" s="63" t="n"/>
      <c r="AL2" s="63" t="n"/>
      <c r="AM2" s="63" t="n"/>
      <c r="AN2" s="64" t="n"/>
      <c r="AP2" s="44" t="inlineStr">
        <is>
          <t>1. OTHER Ajet SERVICES SOLD TO THE PASSENGERS AT AIRPORT</t>
        </is>
      </c>
      <c r="AQ2" s="63" t="n"/>
      <c r="AR2" s="63" t="n"/>
      <c r="AS2" s="63" t="n"/>
      <c r="AT2" s="63" t="n"/>
      <c r="AU2" s="63" t="n"/>
      <c r="AV2" s="64" t="n"/>
      <c r="AX2" s="44" t="inlineStr">
        <is>
          <t>1. OTHER Ajet SERVICES SOLD TO THE PASSENGERS AT AIRPORT</t>
        </is>
      </c>
      <c r="AY2" s="63" t="n"/>
      <c r="AZ2" s="63" t="n"/>
      <c r="BA2" s="63" t="n"/>
      <c r="BB2" s="63" t="n"/>
      <c r="BC2" s="63" t="n"/>
      <c r="BD2" s="64" t="n"/>
      <c r="BF2" s="44" t="inlineStr">
        <is>
          <t>1. OTHER Ajet SERVICES SOLD TO THE PASSENGERS AT AIRPORT</t>
        </is>
      </c>
      <c r="BG2" s="63" t="n"/>
      <c r="BH2" s="63" t="n"/>
      <c r="BI2" s="63" t="n"/>
      <c r="BJ2" s="63" t="n"/>
      <c r="BK2" s="63" t="n"/>
      <c r="BL2" s="64" t="n"/>
    </row>
    <row r="3">
      <c r="A3" s="6" t="n"/>
      <c r="B3" s="46" t="inlineStr">
        <is>
          <t>Fee types</t>
        </is>
      </c>
      <c r="C3" s="46" t="inlineStr">
        <is>
          <t>Fees Code</t>
        </is>
      </c>
      <c r="D3" s="46" t="inlineStr">
        <is>
          <t>Charged</t>
        </is>
      </c>
      <c r="E3" s="47" t="inlineStr">
        <is>
          <t>EUR</t>
        </is>
      </c>
      <c r="F3" s="65" t="inlineStr">
        <is>
          <t>QTY</t>
        </is>
      </c>
      <c r="G3" s="50" t="inlineStr">
        <is>
          <t>Amount</t>
        </is>
      </c>
      <c r="H3" s="51" t="inlineStr">
        <is>
          <t>Valute</t>
        </is>
      </c>
      <c r="I3" s="6" t="n"/>
      <c r="J3" s="46" t="inlineStr">
        <is>
          <t>Fee types</t>
        </is>
      </c>
      <c r="K3" s="46" t="inlineStr">
        <is>
          <t>Fees Code</t>
        </is>
      </c>
      <c r="L3" s="46" t="inlineStr">
        <is>
          <t>Charged</t>
        </is>
      </c>
      <c r="M3" s="47" t="inlineStr">
        <is>
          <t>EUR</t>
        </is>
      </c>
      <c r="N3" s="65" t="inlineStr">
        <is>
          <t>QTY</t>
        </is>
      </c>
      <c r="O3" s="50" t="inlineStr">
        <is>
          <t>Amount</t>
        </is>
      </c>
      <c r="P3" s="51" t="inlineStr">
        <is>
          <t>Valute</t>
        </is>
      </c>
      <c r="Q3" s="6" t="n"/>
      <c r="R3" s="46" t="inlineStr">
        <is>
          <t>Fee types</t>
        </is>
      </c>
      <c r="S3" s="46" t="inlineStr">
        <is>
          <t>Fees Code</t>
        </is>
      </c>
      <c r="T3" s="46" t="inlineStr">
        <is>
          <t>Charged</t>
        </is>
      </c>
      <c r="U3" s="47" t="inlineStr">
        <is>
          <t>EUR</t>
        </is>
      </c>
      <c r="V3" s="65" t="inlineStr">
        <is>
          <t>QTY</t>
        </is>
      </c>
      <c r="W3" s="50" t="inlineStr">
        <is>
          <t>Amount</t>
        </is>
      </c>
      <c r="X3" s="51" t="inlineStr">
        <is>
          <t>Valute</t>
        </is>
      </c>
      <c r="Z3" s="46" t="inlineStr">
        <is>
          <t>Fee types</t>
        </is>
      </c>
      <c r="AA3" s="46" t="inlineStr">
        <is>
          <t>Fees Code</t>
        </is>
      </c>
      <c r="AB3" s="46" t="inlineStr">
        <is>
          <t>Charged</t>
        </is>
      </c>
      <c r="AC3" s="66" t="inlineStr">
        <is>
          <t>EUR</t>
        </is>
      </c>
      <c r="AD3" s="67" t="inlineStr">
        <is>
          <t>QTY</t>
        </is>
      </c>
      <c r="AE3" s="68" t="inlineStr">
        <is>
          <t>Amount</t>
        </is>
      </c>
      <c r="AF3" s="51" t="inlineStr">
        <is>
          <t>Valute</t>
        </is>
      </c>
      <c r="AH3" s="46" t="inlineStr">
        <is>
          <t>Fee types</t>
        </is>
      </c>
      <c r="AI3" s="46" t="inlineStr">
        <is>
          <t>Fees Code</t>
        </is>
      </c>
      <c r="AJ3" s="46" t="inlineStr">
        <is>
          <t>Charged</t>
        </is>
      </c>
      <c r="AK3" s="66" t="inlineStr">
        <is>
          <t>EUR</t>
        </is>
      </c>
      <c r="AL3" s="67" t="inlineStr">
        <is>
          <t>QTY</t>
        </is>
      </c>
      <c r="AM3" s="68" t="inlineStr">
        <is>
          <t>Amount</t>
        </is>
      </c>
      <c r="AN3" s="51" t="inlineStr">
        <is>
          <t>Valute</t>
        </is>
      </c>
      <c r="AP3" s="46" t="inlineStr">
        <is>
          <t>Fee types</t>
        </is>
      </c>
      <c r="AQ3" s="46" t="inlineStr">
        <is>
          <t>Fees Code</t>
        </is>
      </c>
      <c r="AR3" s="46" t="inlineStr">
        <is>
          <t>Charged</t>
        </is>
      </c>
      <c r="AS3" s="66" t="inlineStr">
        <is>
          <t>EUR</t>
        </is>
      </c>
      <c r="AT3" s="67" t="inlineStr">
        <is>
          <t>QTY</t>
        </is>
      </c>
      <c r="AU3" s="68" t="inlineStr">
        <is>
          <t>Amount</t>
        </is>
      </c>
      <c r="AV3" s="51" t="inlineStr">
        <is>
          <t>Valute</t>
        </is>
      </c>
      <c r="AX3" s="46" t="inlineStr">
        <is>
          <t>Fee types</t>
        </is>
      </c>
      <c r="AY3" s="46" t="inlineStr">
        <is>
          <t>Fees Code</t>
        </is>
      </c>
      <c r="AZ3" s="46" t="inlineStr">
        <is>
          <t>Charged</t>
        </is>
      </c>
      <c r="BA3" s="66" t="inlineStr">
        <is>
          <t>EUR</t>
        </is>
      </c>
      <c r="BB3" s="67" t="inlineStr">
        <is>
          <t>QTY</t>
        </is>
      </c>
      <c r="BC3" s="68" t="inlineStr">
        <is>
          <t>Amount</t>
        </is>
      </c>
      <c r="BD3" s="51" t="inlineStr">
        <is>
          <t>Valute</t>
        </is>
      </c>
      <c r="BF3" s="46" t="inlineStr">
        <is>
          <t>Fee types</t>
        </is>
      </c>
      <c r="BG3" s="46" t="inlineStr">
        <is>
          <t>Fees Code</t>
        </is>
      </c>
      <c r="BH3" s="46" t="inlineStr">
        <is>
          <t>Charged</t>
        </is>
      </c>
      <c r="BI3" s="66" t="inlineStr">
        <is>
          <t>EUR</t>
        </is>
      </c>
      <c r="BJ3" s="67" t="inlineStr">
        <is>
          <t>QTY</t>
        </is>
      </c>
      <c r="BK3" s="68" t="inlineStr">
        <is>
          <t>Amount</t>
        </is>
      </c>
      <c r="BL3" s="51" t="inlineStr">
        <is>
          <t>Valute</t>
        </is>
      </c>
    </row>
    <row r="4">
      <c r="A4" s="6" t="n"/>
      <c r="B4" s="3" t="inlineStr">
        <is>
          <t>ALL AMOUNTS IN EURO</t>
        </is>
      </c>
      <c r="C4" s="69" t="n"/>
      <c r="D4" s="69" t="n"/>
      <c r="E4" s="70" t="n"/>
      <c r="F4" s="69" t="n"/>
      <c r="G4" s="71" t="n"/>
      <c r="H4" s="69" t="n"/>
      <c r="I4" s="6" t="n"/>
      <c r="J4" s="3" t="inlineStr">
        <is>
          <t>ALL AMOUNTS IN EURO</t>
        </is>
      </c>
      <c r="K4" s="69" t="n"/>
      <c r="L4" s="69" t="n"/>
      <c r="M4" s="70" t="n"/>
      <c r="N4" s="69" t="n"/>
      <c r="O4" s="71" t="n"/>
      <c r="P4" s="69" t="n"/>
      <c r="Q4" s="6" t="n"/>
      <c r="R4" s="3" t="inlineStr">
        <is>
          <t>ALL AMOUNTS IN EURO</t>
        </is>
      </c>
      <c r="S4" s="69" t="n"/>
      <c r="T4" s="69" t="n"/>
      <c r="U4" s="70" t="n"/>
      <c r="V4" s="69" t="n"/>
      <c r="W4" s="71" t="n"/>
      <c r="X4" s="69" t="n"/>
      <c r="Z4" s="3" t="inlineStr">
        <is>
          <t>ALL AMOUNTS IN EURO</t>
        </is>
      </c>
      <c r="AA4" s="69" t="n"/>
      <c r="AB4" s="69" t="n"/>
      <c r="AC4" s="70" t="n"/>
      <c r="AD4" s="69" t="n"/>
      <c r="AE4" s="71" t="n"/>
      <c r="AF4" s="69" t="n"/>
      <c r="AH4" s="3" t="inlineStr">
        <is>
          <t>ALL AMOUNTS IN EURO</t>
        </is>
      </c>
      <c r="AI4" s="69" t="n"/>
      <c r="AJ4" s="69" t="n"/>
      <c r="AK4" s="70" t="n"/>
      <c r="AL4" s="69" t="n"/>
      <c r="AM4" s="71" t="n"/>
      <c r="AN4" s="69" t="n"/>
      <c r="AP4" s="3" t="inlineStr">
        <is>
          <t>ALL AMOUNTS IN EURO</t>
        </is>
      </c>
      <c r="AQ4" s="69" t="n"/>
      <c r="AR4" s="69" t="n"/>
      <c r="AS4" s="70" t="n"/>
      <c r="AT4" s="69" t="n"/>
      <c r="AU4" s="71" t="n"/>
      <c r="AV4" s="69" t="n"/>
      <c r="AX4" s="3" t="inlineStr">
        <is>
          <t>ALL AMOUNTS IN EURO</t>
        </is>
      </c>
      <c r="AY4" s="69" t="n"/>
      <c r="AZ4" s="69" t="n"/>
      <c r="BA4" s="70" t="n"/>
      <c r="BB4" s="69" t="n"/>
      <c r="BC4" s="71" t="n"/>
      <c r="BD4" s="69" t="n"/>
      <c r="BF4" s="3" t="inlineStr">
        <is>
          <t>ALL AMOUNTS IN EURO</t>
        </is>
      </c>
      <c r="BG4" s="69" t="n"/>
      <c r="BH4" s="69" t="n"/>
      <c r="BI4" s="70" t="n"/>
      <c r="BJ4" s="69" t="n"/>
      <c r="BK4" s="71" t="n"/>
      <c r="BL4" s="69" t="n"/>
    </row>
    <row r="5">
      <c r="A5" s="6" t="n"/>
      <c r="B5" s="7" t="inlineStr">
        <is>
          <t xml:space="preserve">Airport Check in  </t>
        </is>
      </c>
      <c r="C5" s="7" t="inlineStr">
        <is>
          <t>CHKA</t>
        </is>
      </c>
      <c r="D5" s="8" t="inlineStr">
        <is>
          <t>flight/pax</t>
        </is>
      </c>
      <c r="E5" s="9" t="n">
        <v>40</v>
      </c>
      <c r="F5" s="11" t="n">
        <v>4</v>
      </c>
      <c r="G5" s="10">
        <f>F5*E5</f>
        <v/>
      </c>
      <c r="H5" s="1" t="inlineStr">
        <is>
          <t>EUR</t>
        </is>
      </c>
      <c r="I5" s="6" t="n"/>
      <c r="J5" s="7" t="n"/>
      <c r="K5" s="7" t="n"/>
      <c r="L5" s="8" t="inlineStr">
        <is>
          <t>flight/pax</t>
        </is>
      </c>
      <c r="M5" s="9" t="n">
        <v>15</v>
      </c>
      <c r="N5" s="11" t="n"/>
      <c r="O5" s="10">
        <f>N5*M5</f>
        <v/>
      </c>
      <c r="P5" s="1" t="inlineStr">
        <is>
          <t>EUR</t>
        </is>
      </c>
      <c r="Q5" s="6" t="n"/>
      <c r="R5" s="7" t="n"/>
      <c r="S5" s="7" t="n"/>
      <c r="T5" s="8" t="inlineStr">
        <is>
          <t>flight/pax</t>
        </is>
      </c>
      <c r="U5" s="9" t="n"/>
      <c r="V5" s="11" t="n"/>
      <c r="W5" s="10">
        <f>V5*U5</f>
        <v/>
      </c>
      <c r="X5" s="1" t="inlineStr">
        <is>
          <t>EUR</t>
        </is>
      </c>
      <c r="Z5" s="7" t="n"/>
      <c r="AA5" s="7" t="n"/>
      <c r="AB5" s="8" t="inlineStr">
        <is>
          <t>flight/pax</t>
        </is>
      </c>
      <c r="AC5" s="72" t="n"/>
      <c r="AD5" s="73" t="n"/>
      <c r="AE5" s="74">
        <f>V5*U5</f>
        <v/>
      </c>
      <c r="AF5" s="1" t="inlineStr">
        <is>
          <t>EUR</t>
        </is>
      </c>
      <c r="AH5" s="7" t="n"/>
      <c r="AI5" s="7" t="n"/>
      <c r="AJ5" s="8" t="inlineStr">
        <is>
          <t>flight/pax</t>
        </is>
      </c>
      <c r="AK5" s="72" t="n"/>
      <c r="AL5" s="73" t="n"/>
      <c r="AM5" s="74">
        <f>V5*U5</f>
        <v/>
      </c>
      <c r="AN5" s="1" t="inlineStr">
        <is>
          <t>EUR</t>
        </is>
      </c>
      <c r="AP5" s="7" t="n"/>
      <c r="AQ5" s="7" t="n"/>
      <c r="AR5" s="8" t="inlineStr">
        <is>
          <t>flight/pax</t>
        </is>
      </c>
      <c r="AS5" s="72" t="n"/>
      <c r="AT5" s="73" t="n"/>
      <c r="AU5" s="74">
        <f>V5*U5</f>
        <v/>
      </c>
      <c r="AV5" s="1" t="inlineStr">
        <is>
          <t>EUR</t>
        </is>
      </c>
      <c r="AX5" s="7" t="n"/>
      <c r="AY5" s="7" t="n"/>
      <c r="AZ5" s="8" t="inlineStr">
        <is>
          <t>flight/pax</t>
        </is>
      </c>
      <c r="BA5" s="72" t="n"/>
      <c r="BB5" s="73" t="n"/>
      <c r="BC5" s="74">
        <f>V5*U5</f>
        <v/>
      </c>
      <c r="BD5" s="1" t="inlineStr">
        <is>
          <t>EUR</t>
        </is>
      </c>
      <c r="BF5" s="7" t="n"/>
      <c r="BG5" s="7" t="n"/>
      <c r="BH5" s="8" t="inlineStr">
        <is>
          <t>flight/pax</t>
        </is>
      </c>
      <c r="BI5" s="72" t="n"/>
      <c r="BJ5" s="73" t="n"/>
      <c r="BK5" s="74">
        <f>V5*U5</f>
        <v/>
      </c>
      <c r="BL5" s="1" t="inlineStr">
        <is>
          <t>EUR</t>
        </is>
      </c>
    </row>
    <row r="6">
      <c r="A6" s="6" t="n"/>
      <c r="B6" s="7" t="inlineStr">
        <is>
          <t>Torba do 20KG</t>
        </is>
      </c>
      <c r="C6" s="7" t="inlineStr">
        <is>
          <t>BAGD</t>
        </is>
      </c>
      <c r="D6" s="8" t="inlineStr">
        <is>
          <t>bag/flight</t>
        </is>
      </c>
      <c r="E6" s="9" t="n">
        <v>70</v>
      </c>
      <c r="F6" s="12" t="n"/>
      <c r="G6" s="10">
        <f>F6*E6</f>
        <v/>
      </c>
      <c r="H6" s="1" t="inlineStr">
        <is>
          <t>EUR</t>
        </is>
      </c>
      <c r="I6" s="6" t="n"/>
      <c r="J6" s="7" t="n"/>
      <c r="K6" s="7" t="n"/>
      <c r="L6" s="8" t="inlineStr">
        <is>
          <t>flight/pax</t>
        </is>
      </c>
      <c r="M6" s="9" t="n"/>
      <c r="N6" s="12" t="n"/>
      <c r="O6" s="10">
        <f>N6*M6</f>
        <v/>
      </c>
      <c r="P6" s="1" t="inlineStr">
        <is>
          <t>EUR</t>
        </is>
      </c>
      <c r="Q6" s="6" t="n"/>
      <c r="R6" s="7" t="n"/>
      <c r="S6" s="7" t="n"/>
      <c r="T6" s="8" t="inlineStr">
        <is>
          <t>flight/pax</t>
        </is>
      </c>
      <c r="U6" s="9" t="n"/>
      <c r="V6" s="12" t="n"/>
      <c r="W6" s="10">
        <f>V6*U6</f>
        <v/>
      </c>
      <c r="X6" s="1" t="inlineStr">
        <is>
          <t>EUR</t>
        </is>
      </c>
      <c r="Z6" s="7" t="n"/>
      <c r="AA6" s="7" t="n"/>
      <c r="AB6" s="8" t="inlineStr">
        <is>
          <t>flight/pax</t>
        </is>
      </c>
      <c r="AC6" s="72" t="n"/>
      <c r="AD6" s="75" t="n"/>
      <c r="AE6" s="74">
        <f>V6*U6</f>
        <v/>
      </c>
      <c r="AF6" s="1" t="inlineStr">
        <is>
          <t>EUR</t>
        </is>
      </c>
      <c r="AH6" s="7" t="n"/>
      <c r="AI6" s="7" t="n"/>
      <c r="AJ6" s="8" t="inlineStr">
        <is>
          <t>flight/pax</t>
        </is>
      </c>
      <c r="AK6" s="72" t="n"/>
      <c r="AL6" s="75" t="n"/>
      <c r="AM6" s="74">
        <f>V6*U6</f>
        <v/>
      </c>
      <c r="AN6" s="1" t="inlineStr">
        <is>
          <t>EUR</t>
        </is>
      </c>
      <c r="AP6" s="7" t="n"/>
      <c r="AQ6" s="7" t="n"/>
      <c r="AR6" s="8" t="inlineStr">
        <is>
          <t>flight/pax</t>
        </is>
      </c>
      <c r="AS6" s="72" t="n"/>
      <c r="AT6" s="75" t="n"/>
      <c r="AU6" s="74">
        <f>V6*U6</f>
        <v/>
      </c>
      <c r="AV6" s="1" t="inlineStr">
        <is>
          <t>EUR</t>
        </is>
      </c>
      <c r="AX6" s="7" t="n"/>
      <c r="AY6" s="7" t="n"/>
      <c r="AZ6" s="8" t="inlineStr">
        <is>
          <t>flight/pax</t>
        </is>
      </c>
      <c r="BA6" s="72" t="n"/>
      <c r="BB6" s="75" t="n"/>
      <c r="BC6" s="74">
        <f>V6*U6</f>
        <v/>
      </c>
      <c r="BD6" s="1" t="inlineStr">
        <is>
          <t>EUR</t>
        </is>
      </c>
      <c r="BF6" s="7" t="n"/>
      <c r="BG6" s="7" t="n"/>
      <c r="BH6" s="8" t="inlineStr">
        <is>
          <t>flight/pax</t>
        </is>
      </c>
      <c r="BI6" s="72" t="n"/>
      <c r="BJ6" s="75" t="n"/>
      <c r="BK6" s="74">
        <f>V6*U6</f>
        <v/>
      </c>
      <c r="BL6" s="1" t="inlineStr">
        <is>
          <t>EUR</t>
        </is>
      </c>
    </row>
    <row r="7">
      <c r="A7" s="6" t="n"/>
      <c r="B7" s="7" t="inlineStr">
        <is>
          <t>Torba do 32 kg</t>
        </is>
      </c>
      <c r="C7" s="7" t="inlineStr">
        <is>
          <t>2xBagd</t>
        </is>
      </c>
      <c r="D7" s="8" t="inlineStr">
        <is>
          <t>bag/flight</t>
        </is>
      </c>
      <c r="E7" s="9" t="n">
        <v>120</v>
      </c>
      <c r="F7" s="12" t="n"/>
      <c r="G7" s="10">
        <f>F7*E7</f>
        <v/>
      </c>
      <c r="H7" s="1" t="inlineStr">
        <is>
          <t>EUR</t>
        </is>
      </c>
      <c r="I7" s="6" t="n"/>
      <c r="J7" s="7" t="n"/>
      <c r="K7" s="7" t="n"/>
      <c r="L7" s="8" t="inlineStr">
        <is>
          <t>flight/pax</t>
        </is>
      </c>
      <c r="M7" s="9" t="n"/>
      <c r="N7" s="12" t="n"/>
      <c r="O7" s="10">
        <f>N7*M7</f>
        <v/>
      </c>
      <c r="P7" s="1" t="inlineStr">
        <is>
          <t>EUR</t>
        </is>
      </c>
      <c r="Q7" s="6" t="n"/>
      <c r="R7" s="7" t="n"/>
      <c r="S7" s="7" t="n"/>
      <c r="T7" s="8" t="inlineStr">
        <is>
          <t>flight/pax</t>
        </is>
      </c>
      <c r="U7" s="9" t="n"/>
      <c r="V7" s="12" t="n"/>
      <c r="W7" s="10">
        <f>V7*U7</f>
        <v/>
      </c>
      <c r="X7" s="1" t="inlineStr">
        <is>
          <t>EUR</t>
        </is>
      </c>
      <c r="Z7" s="7" t="n"/>
      <c r="AA7" s="7" t="n"/>
      <c r="AB7" s="8" t="inlineStr">
        <is>
          <t>flight/pax</t>
        </is>
      </c>
      <c r="AC7" s="72" t="n"/>
      <c r="AD7" s="75" t="n"/>
      <c r="AE7" s="74">
        <f>V7*U7</f>
        <v/>
      </c>
      <c r="AF7" s="1" t="inlineStr">
        <is>
          <t>EUR</t>
        </is>
      </c>
      <c r="AH7" s="7" t="n"/>
      <c r="AI7" s="7" t="n"/>
      <c r="AJ7" s="8" t="inlineStr">
        <is>
          <t>flight/pax</t>
        </is>
      </c>
      <c r="AK7" s="72" t="n"/>
      <c r="AL7" s="75" t="n"/>
      <c r="AM7" s="74">
        <f>V7*U7</f>
        <v/>
      </c>
      <c r="AN7" s="1" t="inlineStr">
        <is>
          <t>EUR</t>
        </is>
      </c>
      <c r="AP7" s="7" t="n"/>
      <c r="AQ7" s="7" t="n"/>
      <c r="AR7" s="8" t="inlineStr">
        <is>
          <t>flight/pax</t>
        </is>
      </c>
      <c r="AS7" s="72" t="n"/>
      <c r="AT7" s="75" t="n"/>
      <c r="AU7" s="74">
        <f>V7*U7</f>
        <v/>
      </c>
      <c r="AV7" s="1" t="inlineStr">
        <is>
          <t>EUR</t>
        </is>
      </c>
      <c r="AX7" s="7" t="n"/>
      <c r="AY7" s="7" t="n"/>
      <c r="AZ7" s="8" t="inlineStr">
        <is>
          <t>flight/pax</t>
        </is>
      </c>
      <c r="BA7" s="72" t="n"/>
      <c r="BB7" s="75" t="n"/>
      <c r="BC7" s="74">
        <f>V7*U7</f>
        <v/>
      </c>
      <c r="BD7" s="1" t="inlineStr">
        <is>
          <t>EUR</t>
        </is>
      </c>
      <c r="BF7" s="7" t="n"/>
      <c r="BG7" s="7" t="n"/>
      <c r="BH7" s="8" t="inlineStr">
        <is>
          <t>flight/pax</t>
        </is>
      </c>
      <c r="BI7" s="72" t="n"/>
      <c r="BJ7" s="75" t="n"/>
      <c r="BK7" s="74">
        <f>V7*U7</f>
        <v/>
      </c>
      <c r="BL7" s="1" t="inlineStr">
        <is>
          <t>EUR</t>
        </is>
      </c>
    </row>
    <row r="8">
      <c r="A8" s="6" t="n"/>
      <c r="B8" s="7" t="inlineStr">
        <is>
          <t>Kabinska Torba na check-in</t>
        </is>
      </c>
      <c r="C8" s="7" t="inlineStr">
        <is>
          <t>LACBC</t>
        </is>
      </c>
      <c r="D8" s="8" t="inlineStr">
        <is>
          <t>bag/flight</t>
        </is>
      </c>
      <c r="E8" s="9" t="n">
        <v>55</v>
      </c>
      <c r="F8" s="12" t="n">
        <v>2</v>
      </c>
      <c r="G8" s="10">
        <f>F8*E8</f>
        <v/>
      </c>
      <c r="H8" s="1" t="inlineStr">
        <is>
          <t>EUR</t>
        </is>
      </c>
      <c r="I8" s="6" t="n"/>
      <c r="J8" s="7" t="n"/>
      <c r="K8" s="7" t="n"/>
      <c r="L8" s="8" t="inlineStr">
        <is>
          <t>flight/pax</t>
        </is>
      </c>
      <c r="M8" s="9" t="n"/>
      <c r="N8" s="12" t="n"/>
      <c r="O8" s="10">
        <f>N8*M8</f>
        <v/>
      </c>
      <c r="P8" s="1" t="inlineStr">
        <is>
          <t>EUR</t>
        </is>
      </c>
      <c r="Q8" s="6" t="n"/>
      <c r="R8" s="7" t="n"/>
      <c r="S8" s="7" t="n"/>
      <c r="T8" s="8" t="inlineStr">
        <is>
          <t>flight/pax</t>
        </is>
      </c>
      <c r="U8" s="9" t="n"/>
      <c r="V8" s="12" t="n"/>
      <c r="W8" s="10">
        <f>V8*U8</f>
        <v/>
      </c>
      <c r="X8" s="1" t="inlineStr">
        <is>
          <t>EUR</t>
        </is>
      </c>
      <c r="Z8" s="7" t="n"/>
      <c r="AA8" s="7" t="n"/>
      <c r="AB8" s="8" t="inlineStr">
        <is>
          <t>flight/pax</t>
        </is>
      </c>
      <c r="AC8" s="72" t="n"/>
      <c r="AD8" s="75" t="n"/>
      <c r="AE8" s="74">
        <f>V8*U8</f>
        <v/>
      </c>
      <c r="AF8" s="1" t="inlineStr">
        <is>
          <t>EUR</t>
        </is>
      </c>
      <c r="AH8" s="7" t="n"/>
      <c r="AI8" s="7" t="n"/>
      <c r="AJ8" s="8" t="inlineStr">
        <is>
          <t>flight/pax</t>
        </is>
      </c>
      <c r="AK8" s="72" t="n"/>
      <c r="AL8" s="75" t="n"/>
      <c r="AM8" s="74">
        <f>V8*U8</f>
        <v/>
      </c>
      <c r="AN8" s="1" t="inlineStr">
        <is>
          <t>EUR</t>
        </is>
      </c>
      <c r="AP8" s="7" t="n"/>
      <c r="AQ8" s="7" t="n"/>
      <c r="AR8" s="8" t="inlineStr">
        <is>
          <t>flight/pax</t>
        </is>
      </c>
      <c r="AS8" s="72" t="n"/>
      <c r="AT8" s="75" t="n"/>
      <c r="AU8" s="74">
        <f>V8*U8</f>
        <v/>
      </c>
      <c r="AV8" s="1" t="inlineStr">
        <is>
          <t>EUR</t>
        </is>
      </c>
      <c r="AX8" s="7" t="n"/>
      <c r="AY8" s="7" t="n"/>
      <c r="AZ8" s="8" t="inlineStr">
        <is>
          <t>flight/pax</t>
        </is>
      </c>
      <c r="BA8" s="72" t="n"/>
      <c r="BB8" s="75" t="n"/>
      <c r="BC8" s="74">
        <f>V8*U8</f>
        <v/>
      </c>
      <c r="BD8" s="1" t="inlineStr">
        <is>
          <t>EUR</t>
        </is>
      </c>
      <c r="BF8" s="7" t="n"/>
      <c r="BG8" s="7" t="n"/>
      <c r="BH8" s="8" t="inlineStr">
        <is>
          <t>flight/pax</t>
        </is>
      </c>
      <c r="BI8" s="72" t="n"/>
      <c r="BJ8" s="75" t="n"/>
      <c r="BK8" s="74">
        <f>V8*U8</f>
        <v/>
      </c>
      <c r="BL8" s="1" t="inlineStr">
        <is>
          <t>EUR</t>
        </is>
      </c>
    </row>
    <row r="9">
      <c r="A9" s="6" t="n"/>
      <c r="B9" s="7" t="inlineStr">
        <is>
          <t>Kabinska Torba u gate-u</t>
        </is>
      </c>
      <c r="C9" s="7" t="inlineStr">
        <is>
          <t>LACBG</t>
        </is>
      </c>
      <c r="D9" s="8" t="inlineStr">
        <is>
          <t>bag/flight</t>
        </is>
      </c>
      <c r="E9" s="9" t="n">
        <v>55</v>
      </c>
      <c r="F9" s="12" t="n"/>
      <c r="G9" s="10">
        <f>F9*E9</f>
        <v/>
      </c>
      <c r="H9" s="1" t="inlineStr">
        <is>
          <t>EUR</t>
        </is>
      </c>
      <c r="I9" s="6" t="n"/>
      <c r="J9" s="7" t="n"/>
      <c r="K9" s="7" t="n"/>
      <c r="L9" s="8" t="inlineStr">
        <is>
          <t>flight/pax</t>
        </is>
      </c>
      <c r="M9" s="9" t="n"/>
      <c r="N9" s="12" t="n"/>
      <c r="O9" s="10">
        <f>N9*M9</f>
        <v/>
      </c>
      <c r="P9" s="1" t="inlineStr">
        <is>
          <t>EUR</t>
        </is>
      </c>
      <c r="Q9" s="6" t="n"/>
      <c r="R9" s="7" t="n"/>
      <c r="S9" s="7" t="n"/>
      <c r="T9" s="8" t="inlineStr">
        <is>
          <t>flight/pax</t>
        </is>
      </c>
      <c r="U9" s="9" t="n"/>
      <c r="V9" s="12" t="n"/>
      <c r="W9" s="10">
        <f>V9*U9</f>
        <v/>
      </c>
      <c r="X9" s="1" t="inlineStr">
        <is>
          <t>EUR</t>
        </is>
      </c>
      <c r="Z9" s="7" t="n"/>
      <c r="AA9" s="7" t="n"/>
      <c r="AB9" s="8" t="inlineStr">
        <is>
          <t>flight/pax</t>
        </is>
      </c>
      <c r="AC9" s="72" t="n"/>
      <c r="AD9" s="75" t="n"/>
      <c r="AE9" s="74">
        <f>V9*U9</f>
        <v/>
      </c>
      <c r="AF9" s="1" t="inlineStr">
        <is>
          <t>EUR</t>
        </is>
      </c>
      <c r="AH9" s="7" t="n"/>
      <c r="AI9" s="7" t="n"/>
      <c r="AJ9" s="8" t="inlineStr">
        <is>
          <t>flight/pax</t>
        </is>
      </c>
      <c r="AK9" s="72" t="n"/>
      <c r="AL9" s="75" t="n"/>
      <c r="AM9" s="74">
        <f>V9*U9</f>
        <v/>
      </c>
      <c r="AN9" s="1" t="inlineStr">
        <is>
          <t>EUR</t>
        </is>
      </c>
      <c r="AP9" s="7" t="n"/>
      <c r="AQ9" s="7" t="n"/>
      <c r="AR9" s="8" t="inlineStr">
        <is>
          <t>flight/pax</t>
        </is>
      </c>
      <c r="AS9" s="72" t="n"/>
      <c r="AT9" s="75" t="n"/>
      <c r="AU9" s="74">
        <f>V9*U9</f>
        <v/>
      </c>
      <c r="AV9" s="1" t="inlineStr">
        <is>
          <t>EUR</t>
        </is>
      </c>
      <c r="AX9" s="7" t="n"/>
      <c r="AY9" s="7" t="n"/>
      <c r="AZ9" s="8" t="inlineStr">
        <is>
          <t>flight/pax</t>
        </is>
      </c>
      <c r="BA9" s="72" t="n"/>
      <c r="BB9" s="75" t="n"/>
      <c r="BC9" s="74">
        <f>V9*U9</f>
        <v/>
      </c>
      <c r="BD9" s="1" t="inlineStr">
        <is>
          <t>EUR</t>
        </is>
      </c>
      <c r="BF9" s="7" t="n"/>
      <c r="BG9" s="7" t="n"/>
      <c r="BH9" s="8" t="inlineStr">
        <is>
          <t>flight/pax</t>
        </is>
      </c>
      <c r="BI9" s="72" t="n"/>
      <c r="BJ9" s="75" t="n"/>
      <c r="BK9" s="74">
        <f>V9*U9</f>
        <v/>
      </c>
      <c r="BL9" s="1" t="inlineStr">
        <is>
          <t>EUR</t>
        </is>
      </c>
    </row>
    <row r="10">
      <c r="A10" s="6" t="n"/>
      <c r="B10" s="7" t="inlineStr">
        <is>
          <t>PRB</t>
        </is>
      </c>
      <c r="C10" s="7" t="inlineStr">
        <is>
          <t>PRB</t>
        </is>
      </c>
      <c r="D10" s="8" t="inlineStr">
        <is>
          <t>flight/pax</t>
        </is>
      </c>
      <c r="E10" s="9" t="n">
        <v>65</v>
      </c>
      <c r="F10" s="12" t="n">
        <v>1</v>
      </c>
      <c r="G10" s="10">
        <f>E10*F10</f>
        <v/>
      </c>
      <c r="H10" s="1" t="inlineStr">
        <is>
          <t>EUR</t>
        </is>
      </c>
      <c r="I10" s="6" t="n"/>
      <c r="J10" s="7" t="n"/>
      <c r="K10" s="7" t="n"/>
      <c r="L10" s="8" t="inlineStr">
        <is>
          <t>flight/pax</t>
        </is>
      </c>
      <c r="M10" s="9" t="n"/>
      <c r="N10" s="12" t="n"/>
      <c r="O10" s="10">
        <f>M10*N10</f>
        <v/>
      </c>
      <c r="P10" s="1" t="inlineStr">
        <is>
          <t>EUR</t>
        </is>
      </c>
      <c r="Q10" s="6" t="n"/>
      <c r="R10" s="7" t="n"/>
      <c r="S10" s="7" t="n"/>
      <c r="T10" s="8" t="inlineStr">
        <is>
          <t>flight/pax</t>
        </is>
      </c>
      <c r="U10" s="9" t="n"/>
      <c r="V10" s="12" t="n"/>
      <c r="W10" s="10">
        <f>U10*V10</f>
        <v/>
      </c>
      <c r="X10" s="1" t="inlineStr">
        <is>
          <t>EUR</t>
        </is>
      </c>
      <c r="Z10" s="7" t="n"/>
      <c r="AA10" s="7" t="n"/>
      <c r="AB10" s="8" t="inlineStr">
        <is>
          <t>flight/pax</t>
        </is>
      </c>
      <c r="AC10" s="72" t="n"/>
      <c r="AD10" s="75" t="n"/>
      <c r="AE10" s="74">
        <f>U10*V10</f>
        <v/>
      </c>
      <c r="AF10" s="1" t="inlineStr">
        <is>
          <t>EUR</t>
        </is>
      </c>
      <c r="AH10" s="7" t="n"/>
      <c r="AI10" s="7" t="n"/>
      <c r="AJ10" s="8" t="inlineStr">
        <is>
          <t>flight/pax</t>
        </is>
      </c>
      <c r="AK10" s="72" t="n"/>
      <c r="AL10" s="75" t="n"/>
      <c r="AM10" s="74">
        <f>U10*V10</f>
        <v/>
      </c>
      <c r="AN10" s="1" t="inlineStr">
        <is>
          <t>EUR</t>
        </is>
      </c>
      <c r="AP10" s="7" t="n"/>
      <c r="AQ10" s="7" t="n"/>
      <c r="AR10" s="8" t="inlineStr">
        <is>
          <t>flight/pax</t>
        </is>
      </c>
      <c r="AS10" s="72" t="n"/>
      <c r="AT10" s="75" t="n"/>
      <c r="AU10" s="74">
        <f>U10*V10</f>
        <v/>
      </c>
      <c r="AV10" s="1" t="inlineStr">
        <is>
          <t>EUR</t>
        </is>
      </c>
      <c r="AX10" s="7" t="n"/>
      <c r="AY10" s="7" t="n"/>
      <c r="AZ10" s="8" t="inlineStr">
        <is>
          <t>flight/pax</t>
        </is>
      </c>
      <c r="BA10" s="72" t="n"/>
      <c r="BB10" s="75" t="n"/>
      <c r="BC10" s="74">
        <f>U10*V10</f>
        <v/>
      </c>
      <c r="BD10" s="1" t="inlineStr">
        <is>
          <t>EUR</t>
        </is>
      </c>
      <c r="BF10" s="7" t="n"/>
      <c r="BG10" s="7" t="n"/>
      <c r="BH10" s="8" t="inlineStr">
        <is>
          <t>flight/pax</t>
        </is>
      </c>
      <c r="BI10" s="72" t="n"/>
      <c r="BJ10" s="75" t="n"/>
      <c r="BK10" s="74">
        <f>U10*V10</f>
        <v/>
      </c>
      <c r="BL10" s="1" t="inlineStr">
        <is>
          <t>EUR</t>
        </is>
      </c>
    </row>
    <row r="11">
      <c r="A11" s="6" t="n"/>
      <c r="B11" s="7" t="inlineStr">
        <is>
          <t>Infant</t>
        </is>
      </c>
      <c r="C11" s="7" t="inlineStr">
        <is>
          <t>INF</t>
        </is>
      </c>
      <c r="D11" s="8" t="inlineStr">
        <is>
          <t>flight/pax</t>
        </is>
      </c>
      <c r="E11" s="9" t="n">
        <v>31</v>
      </c>
      <c r="F11" s="12" t="n"/>
      <c r="G11" s="10">
        <f>E11*F11</f>
        <v/>
      </c>
      <c r="H11" s="1" t="inlineStr">
        <is>
          <t>EUR</t>
        </is>
      </c>
      <c r="I11" s="6" t="n"/>
      <c r="J11" s="7" t="n"/>
      <c r="K11" s="7" t="n"/>
      <c r="L11" s="8" t="inlineStr">
        <is>
          <t>flight/pax</t>
        </is>
      </c>
      <c r="M11" s="9" t="n"/>
      <c r="N11" s="12" t="n"/>
      <c r="O11" s="10">
        <f>M11*N11</f>
        <v/>
      </c>
      <c r="P11" s="1" t="inlineStr">
        <is>
          <t>EUR</t>
        </is>
      </c>
      <c r="Q11" s="6" t="n"/>
      <c r="R11" s="7" t="n"/>
      <c r="S11" s="7" t="n"/>
      <c r="T11" s="8" t="inlineStr">
        <is>
          <t>flight/pax</t>
        </is>
      </c>
      <c r="U11" s="9" t="n"/>
      <c r="V11" s="12" t="n"/>
      <c r="W11" s="10">
        <f>U11*V11</f>
        <v/>
      </c>
      <c r="X11" s="1" t="inlineStr">
        <is>
          <t>EUR</t>
        </is>
      </c>
      <c r="Z11" s="7" t="n"/>
      <c r="AA11" s="7" t="n"/>
      <c r="AB11" s="8" t="inlineStr">
        <is>
          <t>flight/pax</t>
        </is>
      </c>
      <c r="AC11" s="72" t="n"/>
      <c r="AD11" s="75" t="n"/>
      <c r="AE11" s="74">
        <f>U11*V11</f>
        <v/>
      </c>
      <c r="AF11" s="1" t="inlineStr">
        <is>
          <t>EUR</t>
        </is>
      </c>
      <c r="AH11" s="7" t="n"/>
      <c r="AI11" s="7" t="n"/>
      <c r="AJ11" s="8" t="inlineStr">
        <is>
          <t>flight/pax</t>
        </is>
      </c>
      <c r="AK11" s="72" t="n"/>
      <c r="AL11" s="75" t="n"/>
      <c r="AM11" s="74">
        <f>U11*V11</f>
        <v/>
      </c>
      <c r="AN11" s="1" t="inlineStr">
        <is>
          <t>EUR</t>
        </is>
      </c>
      <c r="AP11" s="7" t="n"/>
      <c r="AQ11" s="7" t="n"/>
      <c r="AR11" s="8" t="inlineStr">
        <is>
          <t>flight/pax</t>
        </is>
      </c>
      <c r="AS11" s="72" t="n"/>
      <c r="AT11" s="75" t="n"/>
      <c r="AU11" s="74">
        <f>U11*V11</f>
        <v/>
      </c>
      <c r="AV11" s="1" t="inlineStr">
        <is>
          <t>EUR</t>
        </is>
      </c>
      <c r="AX11" s="7" t="n"/>
      <c r="AY11" s="7" t="n"/>
      <c r="AZ11" s="8" t="inlineStr">
        <is>
          <t>flight/pax</t>
        </is>
      </c>
      <c r="BA11" s="72" t="n"/>
      <c r="BB11" s="75" t="n"/>
      <c r="BC11" s="74">
        <f>U11*V11</f>
        <v/>
      </c>
      <c r="BD11" s="1" t="inlineStr">
        <is>
          <t>EUR</t>
        </is>
      </c>
      <c r="BF11" s="7" t="n"/>
      <c r="BG11" s="7" t="n"/>
      <c r="BH11" s="8" t="inlineStr">
        <is>
          <t>flight/pax</t>
        </is>
      </c>
      <c r="BI11" s="72" t="n"/>
      <c r="BJ11" s="75" t="n"/>
      <c r="BK11" s="74">
        <f>U11*V11</f>
        <v/>
      </c>
      <c r="BL11" s="1" t="inlineStr">
        <is>
          <t>EUR</t>
        </is>
      </c>
    </row>
    <row r="12">
      <c r="A12" s="6" t="n"/>
      <c r="B12" s="7" t="inlineStr">
        <is>
          <t>Missed Flight Fee</t>
        </is>
      </c>
      <c r="C12" s="7" t="inlineStr">
        <is>
          <t>MFF</t>
        </is>
      </c>
      <c r="D12" s="8" t="inlineStr">
        <is>
          <t>flight/pax</t>
        </is>
      </c>
      <c r="E12" s="9" t="n">
        <v>80</v>
      </c>
      <c r="F12" s="13" t="n"/>
      <c r="G12" s="10">
        <f>E12*F12</f>
        <v/>
      </c>
      <c r="H12" s="1" t="inlineStr">
        <is>
          <t>EUR</t>
        </is>
      </c>
      <c r="I12" s="6" t="n"/>
      <c r="J12" s="7" t="n"/>
      <c r="K12" s="7" t="n"/>
      <c r="L12" s="8" t="inlineStr">
        <is>
          <t>flight/pax</t>
        </is>
      </c>
      <c r="M12" s="9" t="n"/>
      <c r="N12" s="13" t="n"/>
      <c r="O12" s="10">
        <f>M12*N12</f>
        <v/>
      </c>
      <c r="P12" s="1" t="inlineStr">
        <is>
          <t>EUR</t>
        </is>
      </c>
      <c r="Q12" s="6" t="n"/>
      <c r="R12" s="7" t="n"/>
      <c r="S12" s="7" t="n"/>
      <c r="T12" s="8" t="inlineStr">
        <is>
          <t>flight/pax</t>
        </is>
      </c>
      <c r="U12" s="9" t="n"/>
      <c r="V12" s="13" t="n"/>
      <c r="W12" s="10">
        <f>U12*V12</f>
        <v/>
      </c>
      <c r="X12" s="1" t="inlineStr">
        <is>
          <t>EUR</t>
        </is>
      </c>
      <c r="Z12" s="7" t="n"/>
      <c r="AA12" s="7" t="n"/>
      <c r="AB12" s="8" t="inlineStr">
        <is>
          <t>flight/pax</t>
        </is>
      </c>
      <c r="AC12" s="72" t="n"/>
      <c r="AD12" s="76" t="n"/>
      <c r="AE12" s="74">
        <f>U12*V12</f>
        <v/>
      </c>
      <c r="AF12" s="1" t="inlineStr">
        <is>
          <t>EUR</t>
        </is>
      </c>
      <c r="AH12" s="7" t="n"/>
      <c r="AI12" s="7" t="n"/>
      <c r="AJ12" s="8" t="inlineStr">
        <is>
          <t>flight/pax</t>
        </is>
      </c>
      <c r="AK12" s="72" t="n"/>
      <c r="AL12" s="76" t="n"/>
      <c r="AM12" s="74">
        <f>U12*V12</f>
        <v/>
      </c>
      <c r="AN12" s="1" t="inlineStr">
        <is>
          <t>EUR</t>
        </is>
      </c>
      <c r="AP12" s="7" t="n"/>
      <c r="AQ12" s="7" t="n"/>
      <c r="AR12" s="8" t="inlineStr">
        <is>
          <t>flight/pax</t>
        </is>
      </c>
      <c r="AS12" s="72" t="n"/>
      <c r="AT12" s="76" t="n"/>
      <c r="AU12" s="74">
        <f>U12*V12</f>
        <v/>
      </c>
      <c r="AV12" s="1" t="inlineStr">
        <is>
          <t>EUR</t>
        </is>
      </c>
      <c r="AX12" s="7" t="n"/>
      <c r="AY12" s="7" t="n"/>
      <c r="AZ12" s="8" t="inlineStr">
        <is>
          <t>flight/pax</t>
        </is>
      </c>
      <c r="BA12" s="72" t="n"/>
      <c r="BB12" s="76" t="n"/>
      <c r="BC12" s="74">
        <f>U12*V12</f>
        <v/>
      </c>
      <c r="BD12" s="1" t="inlineStr">
        <is>
          <t>EUR</t>
        </is>
      </c>
      <c r="BF12" s="7" t="n"/>
      <c r="BG12" s="7" t="n"/>
      <c r="BH12" s="8" t="inlineStr">
        <is>
          <t>flight/pax</t>
        </is>
      </c>
      <c r="BI12" s="72" t="n"/>
      <c r="BJ12" s="76" t="n"/>
      <c r="BK12" s="74">
        <f>U12*V12</f>
        <v/>
      </c>
      <c r="BL12" s="1" t="inlineStr">
        <is>
          <t>EUR</t>
        </is>
      </c>
    </row>
    <row r="13">
      <c r="A13" s="6" t="n"/>
      <c r="B13" s="7" t="inlineStr">
        <is>
          <t xml:space="preserve">Name change fee </t>
        </is>
      </c>
      <c r="C13" s="7" t="inlineStr">
        <is>
          <t>NCHG</t>
        </is>
      </c>
      <c r="D13" s="8" t="inlineStr">
        <is>
          <t>flight/pax</t>
        </is>
      </c>
      <c r="E13" s="9" t="n">
        <v>60</v>
      </c>
      <c r="F13" s="13" t="n"/>
      <c r="G13" s="10">
        <f>E13*F13</f>
        <v/>
      </c>
      <c r="H13" s="1" t="inlineStr">
        <is>
          <t>EUR</t>
        </is>
      </c>
      <c r="I13" s="6" t="n"/>
      <c r="J13" s="7" t="n"/>
      <c r="K13" s="7" t="n"/>
      <c r="L13" s="8" t="inlineStr">
        <is>
          <t>bag/flight</t>
        </is>
      </c>
      <c r="M13" s="9" t="n"/>
      <c r="N13" s="13" t="n"/>
      <c r="O13" s="10">
        <f>M13*N13</f>
        <v/>
      </c>
      <c r="P13" s="1" t="inlineStr">
        <is>
          <t>EUR</t>
        </is>
      </c>
      <c r="Q13" s="6" t="n"/>
      <c r="R13" s="7" t="n"/>
      <c r="S13" s="7" t="n"/>
      <c r="T13" s="8" t="inlineStr">
        <is>
          <t>bag/flight</t>
        </is>
      </c>
      <c r="U13" s="9" t="n"/>
      <c r="V13" s="13" t="n"/>
      <c r="W13" s="10">
        <f>U13*V13</f>
        <v/>
      </c>
      <c r="X13" s="1" t="inlineStr">
        <is>
          <t>EUR</t>
        </is>
      </c>
      <c r="Z13" s="7" t="n"/>
      <c r="AA13" s="7" t="n"/>
      <c r="AB13" s="8" t="inlineStr">
        <is>
          <t>bag/flight</t>
        </is>
      </c>
      <c r="AC13" s="72" t="n"/>
      <c r="AD13" s="76" t="n"/>
      <c r="AE13" s="74">
        <f>U13*V13</f>
        <v/>
      </c>
      <c r="AF13" s="1" t="inlineStr">
        <is>
          <t>EUR</t>
        </is>
      </c>
      <c r="AH13" s="7" t="n"/>
      <c r="AI13" s="7" t="n"/>
      <c r="AJ13" s="8" t="inlineStr">
        <is>
          <t>bag/flight</t>
        </is>
      </c>
      <c r="AK13" s="72" t="n"/>
      <c r="AL13" s="76" t="n"/>
      <c r="AM13" s="74">
        <f>U13*V13</f>
        <v/>
      </c>
      <c r="AN13" s="1" t="inlineStr">
        <is>
          <t>EUR</t>
        </is>
      </c>
      <c r="AP13" s="7" t="n"/>
      <c r="AQ13" s="7" t="n"/>
      <c r="AR13" s="8" t="inlineStr">
        <is>
          <t>bag/flight</t>
        </is>
      </c>
      <c r="AS13" s="72" t="n"/>
      <c r="AT13" s="76" t="n"/>
      <c r="AU13" s="74">
        <f>U13*V13</f>
        <v/>
      </c>
      <c r="AV13" s="1" t="inlineStr">
        <is>
          <t>EUR</t>
        </is>
      </c>
      <c r="AX13" s="7" t="n"/>
      <c r="AY13" s="7" t="n"/>
      <c r="AZ13" s="8" t="inlineStr">
        <is>
          <t>bag/flight</t>
        </is>
      </c>
      <c r="BA13" s="72" t="n"/>
      <c r="BB13" s="76" t="n"/>
      <c r="BC13" s="74">
        <f>U13*V13</f>
        <v/>
      </c>
      <c r="BD13" s="1" t="inlineStr">
        <is>
          <t>EUR</t>
        </is>
      </c>
      <c r="BF13" s="7" t="n"/>
      <c r="BG13" s="7" t="n"/>
      <c r="BH13" s="8" t="inlineStr">
        <is>
          <t>bag/flight</t>
        </is>
      </c>
      <c r="BI13" s="72" t="n"/>
      <c r="BJ13" s="76" t="n"/>
      <c r="BK13" s="74">
        <f>U13*V13</f>
        <v/>
      </c>
      <c r="BL13" s="1" t="inlineStr">
        <is>
          <t>EUR</t>
        </is>
      </c>
    </row>
    <row r="14">
      <c r="A14" s="6" t="n"/>
      <c r="B14" s="7" t="inlineStr">
        <is>
          <t>Sporting Equipment</t>
        </is>
      </c>
      <c r="C14" s="7" t="inlineStr">
        <is>
          <t>SPEQ</t>
        </is>
      </c>
      <c r="D14" s="8" t="inlineStr">
        <is>
          <t>bag/flight</t>
        </is>
      </c>
      <c r="E14" s="9" t="n">
        <v>60</v>
      </c>
      <c r="F14" s="13" t="n"/>
      <c r="G14" s="10">
        <f>E14*F14</f>
        <v/>
      </c>
      <c r="H14" s="1" t="inlineStr">
        <is>
          <t>EUR</t>
        </is>
      </c>
      <c r="I14" s="6" t="n"/>
      <c r="J14" s="7" t="n"/>
      <c r="K14" s="7" t="n"/>
      <c r="L14" s="8" t="inlineStr">
        <is>
          <t>bag/flight</t>
        </is>
      </c>
      <c r="M14" s="9" t="n"/>
      <c r="N14" s="13" t="n"/>
      <c r="O14" s="10">
        <f>M14*N14</f>
        <v/>
      </c>
      <c r="P14" s="1" t="inlineStr">
        <is>
          <t>EUR</t>
        </is>
      </c>
      <c r="Q14" s="6" t="n"/>
      <c r="R14" s="7" t="n"/>
      <c r="S14" s="7" t="n"/>
      <c r="T14" s="8" t="inlineStr">
        <is>
          <t>bag/flight</t>
        </is>
      </c>
      <c r="U14" s="9" t="n"/>
      <c r="V14" s="13" t="n"/>
      <c r="W14" s="10">
        <f>U14*V14</f>
        <v/>
      </c>
      <c r="X14" s="1" t="inlineStr">
        <is>
          <t>EUR</t>
        </is>
      </c>
      <c r="Z14" s="7" t="n"/>
      <c r="AA14" s="7" t="n"/>
      <c r="AB14" s="8" t="inlineStr">
        <is>
          <t>bag/flight</t>
        </is>
      </c>
      <c r="AC14" s="72" t="n"/>
      <c r="AD14" s="76" t="n"/>
      <c r="AE14" s="74">
        <f>U14*V14</f>
        <v/>
      </c>
      <c r="AF14" s="1" t="inlineStr">
        <is>
          <t>EUR</t>
        </is>
      </c>
      <c r="AH14" s="7" t="n"/>
      <c r="AI14" s="7" t="n"/>
      <c r="AJ14" s="8" t="inlineStr">
        <is>
          <t>bag/flight</t>
        </is>
      </c>
      <c r="AK14" s="72" t="n"/>
      <c r="AL14" s="76" t="n"/>
      <c r="AM14" s="74">
        <f>U14*V14</f>
        <v/>
      </c>
      <c r="AN14" s="1" t="inlineStr">
        <is>
          <t>EUR</t>
        </is>
      </c>
      <c r="AP14" s="7" t="n"/>
      <c r="AQ14" s="7" t="n"/>
      <c r="AR14" s="8" t="inlineStr">
        <is>
          <t>bag/flight</t>
        </is>
      </c>
      <c r="AS14" s="72" t="n"/>
      <c r="AT14" s="76" t="n"/>
      <c r="AU14" s="74">
        <f>U14*V14</f>
        <v/>
      </c>
      <c r="AV14" s="1" t="inlineStr">
        <is>
          <t>EUR</t>
        </is>
      </c>
      <c r="AX14" s="7" t="n"/>
      <c r="AY14" s="7" t="n"/>
      <c r="AZ14" s="8" t="inlineStr">
        <is>
          <t>bag/flight</t>
        </is>
      </c>
      <c r="BA14" s="72" t="n"/>
      <c r="BB14" s="76" t="n"/>
      <c r="BC14" s="74">
        <f>U14*V14</f>
        <v/>
      </c>
      <c r="BD14" s="1" t="inlineStr">
        <is>
          <t>EUR</t>
        </is>
      </c>
      <c r="BF14" s="7" t="n"/>
      <c r="BG14" s="7" t="n"/>
      <c r="BH14" s="8" t="inlineStr">
        <is>
          <t>bag/flight</t>
        </is>
      </c>
      <c r="BI14" s="72" t="n"/>
      <c r="BJ14" s="76" t="n"/>
      <c r="BK14" s="74">
        <f>U14*V14</f>
        <v/>
      </c>
      <c r="BL14" s="1" t="inlineStr">
        <is>
          <t>EUR</t>
        </is>
      </c>
    </row>
    <row r="15">
      <c r="A15" s="6" t="n"/>
      <c r="B15" s="7" t="inlineStr">
        <is>
          <t>Doplata 1kg</t>
        </is>
      </c>
      <c r="C15" s="7" t="inlineStr">
        <is>
          <t>BAGEXC</t>
        </is>
      </c>
      <c r="D15" s="8" t="inlineStr">
        <is>
          <t>bag/flight</t>
        </is>
      </c>
      <c r="E15" s="9" t="n">
        <v>13</v>
      </c>
      <c r="F15" s="13" t="n">
        <v>1</v>
      </c>
      <c r="G15" s="10">
        <f>E15*F15</f>
        <v/>
      </c>
      <c r="H15" s="1" t="inlineStr">
        <is>
          <t>EUR</t>
        </is>
      </c>
      <c r="I15" s="6" t="n"/>
      <c r="J15" s="7" t="n"/>
      <c r="K15" s="7" t="n"/>
      <c r="L15" s="8" t="inlineStr">
        <is>
          <t>bag/flight</t>
        </is>
      </c>
      <c r="M15" s="9" t="n"/>
      <c r="N15" s="13" t="n"/>
      <c r="O15" s="10">
        <f>M15*N15</f>
        <v/>
      </c>
      <c r="P15" s="1" t="inlineStr">
        <is>
          <t>EUR</t>
        </is>
      </c>
      <c r="Q15" s="6" t="n"/>
      <c r="R15" s="7" t="n"/>
      <c r="S15" s="7" t="n"/>
      <c r="T15" s="8" t="inlineStr">
        <is>
          <t>bag/flight</t>
        </is>
      </c>
      <c r="U15" s="9" t="n"/>
      <c r="V15" s="13" t="n"/>
      <c r="W15" s="10">
        <f>U15*V15</f>
        <v/>
      </c>
      <c r="X15" s="1" t="inlineStr">
        <is>
          <t>EUR</t>
        </is>
      </c>
      <c r="Z15" s="7" t="n"/>
      <c r="AA15" s="7" t="n"/>
      <c r="AB15" s="8" t="inlineStr">
        <is>
          <t>bag/flight</t>
        </is>
      </c>
      <c r="AC15" s="72" t="n"/>
      <c r="AD15" s="76" t="n"/>
      <c r="AE15" s="74">
        <f>U15*V15</f>
        <v/>
      </c>
      <c r="AF15" s="1" t="inlineStr">
        <is>
          <t>EUR</t>
        </is>
      </c>
      <c r="AH15" s="7" t="n"/>
      <c r="AI15" s="7" t="n"/>
      <c r="AJ15" s="8" t="inlineStr">
        <is>
          <t>bag/flight</t>
        </is>
      </c>
      <c r="AK15" s="72" t="n"/>
      <c r="AL15" s="76" t="n"/>
      <c r="AM15" s="74">
        <f>U15*V15</f>
        <v/>
      </c>
      <c r="AN15" s="1" t="inlineStr">
        <is>
          <t>EUR</t>
        </is>
      </c>
      <c r="AP15" s="7" t="n"/>
      <c r="AQ15" s="7" t="n"/>
      <c r="AR15" s="8" t="inlineStr">
        <is>
          <t>bag/flight</t>
        </is>
      </c>
      <c r="AS15" s="72" t="n"/>
      <c r="AT15" s="76" t="n"/>
      <c r="AU15" s="74">
        <f>U15*V15</f>
        <v/>
      </c>
      <c r="AV15" s="1" t="inlineStr">
        <is>
          <t>EUR</t>
        </is>
      </c>
      <c r="AX15" s="7" t="n"/>
      <c r="AY15" s="7" t="n"/>
      <c r="AZ15" s="8" t="inlineStr">
        <is>
          <t>bag/flight</t>
        </is>
      </c>
      <c r="BA15" s="72" t="n"/>
      <c r="BB15" s="76" t="n"/>
      <c r="BC15" s="74">
        <f>U15*V15</f>
        <v/>
      </c>
      <c r="BD15" s="1" t="inlineStr">
        <is>
          <t>EUR</t>
        </is>
      </c>
      <c r="BF15" s="7" t="n"/>
      <c r="BG15" s="7" t="n"/>
      <c r="BH15" s="8" t="inlineStr">
        <is>
          <t>bag/flight</t>
        </is>
      </c>
      <c r="BI15" s="72" t="n"/>
      <c r="BJ15" s="76" t="n"/>
      <c r="BK15" s="74">
        <f>U15*V15</f>
        <v/>
      </c>
      <c r="BL15" s="1" t="inlineStr">
        <is>
          <t>EUR</t>
        </is>
      </c>
    </row>
    <row r="16">
      <c r="A16" s="6" t="n"/>
      <c r="B16" s="7" t="inlineStr">
        <is>
          <t>Doplata 2kg</t>
        </is>
      </c>
      <c r="C16" s="7" t="inlineStr">
        <is>
          <t>BAGEXC</t>
        </is>
      </c>
      <c r="D16" s="8" t="inlineStr">
        <is>
          <t>bag/flight</t>
        </is>
      </c>
      <c r="E16" s="9" t="n">
        <v>26</v>
      </c>
      <c r="F16" s="13" t="n">
        <v>1</v>
      </c>
      <c r="G16" s="10">
        <f>E16*F16</f>
        <v/>
      </c>
      <c r="H16" s="1" t="inlineStr">
        <is>
          <t>EUR</t>
        </is>
      </c>
      <c r="I16" s="6" t="n"/>
      <c r="J16" s="7" t="n"/>
      <c r="K16" s="7" t="n"/>
      <c r="L16" s="8" t="inlineStr">
        <is>
          <t>bag/flight</t>
        </is>
      </c>
      <c r="M16" s="9" t="n"/>
      <c r="N16" s="13" t="n"/>
      <c r="O16" s="10">
        <f>M16*N16</f>
        <v/>
      </c>
      <c r="P16" s="1" t="inlineStr">
        <is>
          <t>EUR</t>
        </is>
      </c>
      <c r="Q16" s="6" t="n"/>
      <c r="R16" s="7" t="n"/>
      <c r="S16" s="7" t="n"/>
      <c r="T16" s="8" t="inlineStr">
        <is>
          <t>bag/flight</t>
        </is>
      </c>
      <c r="U16" s="9" t="n"/>
      <c r="V16" s="13" t="n"/>
      <c r="W16" s="10">
        <f>U16*V16</f>
        <v/>
      </c>
      <c r="X16" s="1" t="inlineStr">
        <is>
          <t>EUR</t>
        </is>
      </c>
      <c r="Z16" s="7" t="n"/>
      <c r="AA16" s="7" t="n"/>
      <c r="AB16" s="8" t="inlineStr">
        <is>
          <t>bag/flight</t>
        </is>
      </c>
      <c r="AC16" s="72" t="n"/>
      <c r="AD16" s="76" t="n"/>
      <c r="AE16" s="74">
        <f>U16*V16</f>
        <v/>
      </c>
      <c r="AF16" s="1" t="inlineStr">
        <is>
          <t>EUR</t>
        </is>
      </c>
      <c r="AH16" s="7" t="n"/>
      <c r="AI16" s="7" t="n"/>
      <c r="AJ16" s="8" t="inlineStr">
        <is>
          <t>bag/flight</t>
        </is>
      </c>
      <c r="AK16" s="72" t="n"/>
      <c r="AL16" s="76" t="n"/>
      <c r="AM16" s="74">
        <f>U16*V16</f>
        <v/>
      </c>
      <c r="AN16" s="1" t="inlineStr">
        <is>
          <t>EUR</t>
        </is>
      </c>
      <c r="AP16" s="7" t="n"/>
      <c r="AQ16" s="7" t="n"/>
      <c r="AR16" s="8" t="inlineStr">
        <is>
          <t>bag/flight</t>
        </is>
      </c>
      <c r="AS16" s="72" t="n"/>
      <c r="AT16" s="76" t="n"/>
      <c r="AU16" s="74">
        <f>U16*V16</f>
        <v/>
      </c>
      <c r="AV16" s="1" t="inlineStr">
        <is>
          <t>EUR</t>
        </is>
      </c>
      <c r="AX16" s="7" t="n"/>
      <c r="AY16" s="7" t="n"/>
      <c r="AZ16" s="8" t="inlineStr">
        <is>
          <t>bag/flight</t>
        </is>
      </c>
      <c r="BA16" s="72" t="n"/>
      <c r="BB16" s="76" t="n"/>
      <c r="BC16" s="74">
        <f>U16*V16</f>
        <v/>
      </c>
      <c r="BD16" s="1" t="inlineStr">
        <is>
          <t>EUR</t>
        </is>
      </c>
      <c r="BF16" s="7" t="n"/>
      <c r="BG16" s="7" t="n"/>
      <c r="BH16" s="8" t="inlineStr">
        <is>
          <t>bag/flight</t>
        </is>
      </c>
      <c r="BI16" s="72" t="n"/>
      <c r="BJ16" s="76" t="n"/>
      <c r="BK16" s="74">
        <f>U16*V16</f>
        <v/>
      </c>
      <c r="BL16" s="1" t="inlineStr">
        <is>
          <t>EUR</t>
        </is>
      </c>
    </row>
    <row r="17">
      <c r="A17" s="6" t="n"/>
      <c r="B17" s="7" t="inlineStr">
        <is>
          <t>Doplata 3kg</t>
        </is>
      </c>
      <c r="C17" s="7" t="inlineStr">
        <is>
          <t>BAGEXC</t>
        </is>
      </c>
      <c r="D17" s="8" t="inlineStr">
        <is>
          <t>bag/flight</t>
        </is>
      </c>
      <c r="E17" s="9" t="n">
        <v>39</v>
      </c>
      <c r="F17" s="12" t="n"/>
      <c r="G17" s="10">
        <f>E17*F17</f>
        <v/>
      </c>
      <c r="H17" s="1" t="inlineStr">
        <is>
          <t>EUR</t>
        </is>
      </c>
      <c r="I17" s="6" t="n"/>
      <c r="J17" s="7" t="n"/>
      <c r="K17" s="7" t="n"/>
      <c r="L17" s="8" t="inlineStr">
        <is>
          <t>bag/flight</t>
        </is>
      </c>
      <c r="M17" s="9" t="n"/>
      <c r="N17" s="12" t="n"/>
      <c r="O17" s="10">
        <f>M17*N17</f>
        <v/>
      </c>
      <c r="P17" s="1" t="inlineStr">
        <is>
          <t>EUR</t>
        </is>
      </c>
      <c r="Q17" s="6" t="n"/>
      <c r="R17" s="7" t="n"/>
      <c r="S17" s="7" t="n"/>
      <c r="T17" s="8" t="inlineStr">
        <is>
          <t>bag/flight</t>
        </is>
      </c>
      <c r="U17" s="9" t="n"/>
      <c r="V17" s="12" t="n"/>
      <c r="W17" s="10">
        <f>U17*V17</f>
        <v/>
      </c>
      <c r="X17" s="1" t="inlineStr">
        <is>
          <t>EUR</t>
        </is>
      </c>
      <c r="Z17" s="7" t="n"/>
      <c r="AA17" s="7" t="n"/>
      <c r="AB17" s="8" t="inlineStr">
        <is>
          <t>bag/flight</t>
        </is>
      </c>
      <c r="AC17" s="72" t="n"/>
      <c r="AD17" s="75" t="n"/>
      <c r="AE17" s="74">
        <f>U17*V17</f>
        <v/>
      </c>
      <c r="AF17" s="1" t="inlineStr">
        <is>
          <t>EUR</t>
        </is>
      </c>
      <c r="AH17" s="7" t="n"/>
      <c r="AI17" s="7" t="n"/>
      <c r="AJ17" s="8" t="inlineStr">
        <is>
          <t>bag/flight</t>
        </is>
      </c>
      <c r="AK17" s="72" t="n"/>
      <c r="AL17" s="75" t="n"/>
      <c r="AM17" s="74">
        <f>U17*V17</f>
        <v/>
      </c>
      <c r="AN17" s="1" t="inlineStr">
        <is>
          <t>EUR</t>
        </is>
      </c>
      <c r="AP17" s="7" t="n"/>
      <c r="AQ17" s="7" t="n"/>
      <c r="AR17" s="8" t="inlineStr">
        <is>
          <t>bag/flight</t>
        </is>
      </c>
      <c r="AS17" s="72" t="n"/>
      <c r="AT17" s="75" t="n"/>
      <c r="AU17" s="74">
        <f>U17*V17</f>
        <v/>
      </c>
      <c r="AV17" s="1" t="inlineStr">
        <is>
          <t>EUR</t>
        </is>
      </c>
      <c r="AX17" s="7" t="n"/>
      <c r="AY17" s="7" t="n"/>
      <c r="AZ17" s="8" t="inlineStr">
        <is>
          <t>bag/flight</t>
        </is>
      </c>
      <c r="BA17" s="72" t="n"/>
      <c r="BB17" s="75" t="n"/>
      <c r="BC17" s="74">
        <f>U17*V17</f>
        <v/>
      </c>
      <c r="BD17" s="1" t="inlineStr">
        <is>
          <t>EUR</t>
        </is>
      </c>
      <c r="BF17" s="7" t="n"/>
      <c r="BG17" s="7" t="n"/>
      <c r="BH17" s="8" t="inlineStr">
        <is>
          <t>bag/flight</t>
        </is>
      </c>
      <c r="BI17" s="72" t="n"/>
      <c r="BJ17" s="75" t="n"/>
      <c r="BK17" s="74">
        <f>U17*V17</f>
        <v/>
      </c>
      <c r="BL17" s="1" t="inlineStr">
        <is>
          <t>EUR</t>
        </is>
      </c>
    </row>
    <row r="18">
      <c r="A18" s="6" t="n"/>
      <c r="B18" s="7" t="inlineStr">
        <is>
          <t>Doplata 4 kg</t>
        </is>
      </c>
      <c r="C18" s="7" t="inlineStr">
        <is>
          <t>BAGEXC</t>
        </is>
      </c>
      <c r="D18" s="8" t="inlineStr">
        <is>
          <t>bag/flight</t>
        </is>
      </c>
      <c r="E18" s="9" t="n">
        <v>52</v>
      </c>
      <c r="F18" s="12" t="n"/>
      <c r="G18" s="10">
        <f>E18*F18</f>
        <v/>
      </c>
      <c r="H18" s="1" t="inlineStr">
        <is>
          <t>EUR</t>
        </is>
      </c>
      <c r="I18" s="6" t="n"/>
      <c r="J18" s="7" t="n"/>
      <c r="K18" s="7" t="n"/>
      <c r="L18" s="8" t="inlineStr">
        <is>
          <t>bag/flight</t>
        </is>
      </c>
      <c r="M18" s="9" t="n"/>
      <c r="N18" s="12" t="n"/>
      <c r="O18" s="10">
        <f>M18*N18</f>
        <v/>
      </c>
      <c r="P18" s="1" t="inlineStr">
        <is>
          <t>EUR</t>
        </is>
      </c>
      <c r="Q18" s="6" t="n"/>
      <c r="R18" s="7" t="n"/>
      <c r="S18" s="7" t="n"/>
      <c r="T18" s="8" t="inlineStr">
        <is>
          <t>bag/flight</t>
        </is>
      </c>
      <c r="U18" s="9" t="n"/>
      <c r="V18" s="12" t="n"/>
      <c r="W18" s="10">
        <f>U18*V18</f>
        <v/>
      </c>
      <c r="X18" s="1" t="inlineStr">
        <is>
          <t>EUR</t>
        </is>
      </c>
      <c r="Z18" s="7" t="n"/>
      <c r="AA18" s="7" t="n"/>
      <c r="AB18" s="8" t="inlineStr">
        <is>
          <t>bag/flight</t>
        </is>
      </c>
      <c r="AC18" s="72" t="n"/>
      <c r="AD18" s="75" t="n"/>
      <c r="AE18" s="74">
        <f>U18*V18</f>
        <v/>
      </c>
      <c r="AF18" s="1" t="inlineStr">
        <is>
          <t>EUR</t>
        </is>
      </c>
      <c r="AH18" s="7" t="n"/>
      <c r="AI18" s="7" t="n"/>
      <c r="AJ18" s="8" t="inlineStr">
        <is>
          <t>bag/flight</t>
        </is>
      </c>
      <c r="AK18" s="72" t="n"/>
      <c r="AL18" s="75" t="n"/>
      <c r="AM18" s="74">
        <f>U18*V18</f>
        <v/>
      </c>
      <c r="AN18" s="1" t="inlineStr">
        <is>
          <t>EUR</t>
        </is>
      </c>
      <c r="AP18" s="7" t="n"/>
      <c r="AQ18" s="7" t="n"/>
      <c r="AR18" s="8" t="inlineStr">
        <is>
          <t>bag/flight</t>
        </is>
      </c>
      <c r="AS18" s="72" t="n"/>
      <c r="AT18" s="75" t="n"/>
      <c r="AU18" s="74">
        <f>U18*V18</f>
        <v/>
      </c>
      <c r="AV18" s="1" t="inlineStr">
        <is>
          <t>EUR</t>
        </is>
      </c>
      <c r="AX18" s="7" t="n"/>
      <c r="AY18" s="7" t="n"/>
      <c r="AZ18" s="8" t="inlineStr">
        <is>
          <t>bag/flight</t>
        </is>
      </c>
      <c r="BA18" s="72" t="n"/>
      <c r="BB18" s="75" t="n"/>
      <c r="BC18" s="74">
        <f>U18*V18</f>
        <v/>
      </c>
      <c r="BD18" s="1" t="inlineStr">
        <is>
          <t>EUR</t>
        </is>
      </c>
      <c r="BF18" s="7" t="n"/>
      <c r="BG18" s="7" t="n"/>
      <c r="BH18" s="8" t="inlineStr">
        <is>
          <t>bag/flight</t>
        </is>
      </c>
      <c r="BI18" s="72" t="n"/>
      <c r="BJ18" s="75" t="n"/>
      <c r="BK18" s="74">
        <f>U18*V18</f>
        <v/>
      </c>
      <c r="BL18" s="1" t="inlineStr">
        <is>
          <t>EUR</t>
        </is>
      </c>
    </row>
    <row r="19">
      <c r="A19" s="6" t="n"/>
      <c r="B19" s="7" t="inlineStr">
        <is>
          <t>Doplata 5 KG</t>
        </is>
      </c>
      <c r="C19" s="7" t="inlineStr">
        <is>
          <t>BAGEXC</t>
        </is>
      </c>
      <c r="D19" s="8" t="inlineStr">
        <is>
          <t>bag/flight</t>
        </is>
      </c>
      <c r="E19" s="9" t="n">
        <v>65</v>
      </c>
      <c r="F19" s="12" t="n"/>
      <c r="G19" s="10">
        <f>E19*F19</f>
        <v/>
      </c>
      <c r="H19" s="1" t="inlineStr">
        <is>
          <t>EUR</t>
        </is>
      </c>
      <c r="I19" s="6" t="n"/>
      <c r="J19" s="7" t="n"/>
      <c r="K19" s="7" t="n"/>
      <c r="L19" s="8" t="inlineStr">
        <is>
          <t>bag/flight</t>
        </is>
      </c>
      <c r="M19" s="9" t="n"/>
      <c r="N19" s="12" t="n"/>
      <c r="O19" s="10">
        <f>M19*N19</f>
        <v/>
      </c>
      <c r="P19" s="1" t="inlineStr">
        <is>
          <t>EUR</t>
        </is>
      </c>
      <c r="Q19" s="6" t="n"/>
      <c r="R19" s="7" t="n"/>
      <c r="S19" s="7" t="n"/>
      <c r="T19" s="8" t="inlineStr">
        <is>
          <t>bag/flight</t>
        </is>
      </c>
      <c r="U19" s="9" t="n"/>
      <c r="V19" s="12" t="n"/>
      <c r="W19" s="10">
        <f>U19*V19</f>
        <v/>
      </c>
      <c r="X19" s="1" t="inlineStr">
        <is>
          <t>EUR</t>
        </is>
      </c>
      <c r="Z19" s="7" t="n"/>
      <c r="AA19" s="7" t="n"/>
      <c r="AB19" s="8" t="inlineStr">
        <is>
          <t>bag/flight</t>
        </is>
      </c>
      <c r="AC19" s="72" t="n"/>
      <c r="AD19" s="75" t="n"/>
      <c r="AE19" s="74">
        <f>U19*V19</f>
        <v/>
      </c>
      <c r="AF19" s="1" t="inlineStr">
        <is>
          <t>EUR</t>
        </is>
      </c>
      <c r="AH19" s="7" t="n"/>
      <c r="AI19" s="7" t="n"/>
      <c r="AJ19" s="8" t="inlineStr">
        <is>
          <t>bag/flight</t>
        </is>
      </c>
      <c r="AK19" s="72" t="n"/>
      <c r="AL19" s="75" t="n"/>
      <c r="AM19" s="74">
        <f>U19*V19</f>
        <v/>
      </c>
      <c r="AN19" s="1" t="inlineStr">
        <is>
          <t>EUR</t>
        </is>
      </c>
      <c r="AP19" s="7" t="n"/>
      <c r="AQ19" s="7" t="n"/>
      <c r="AR19" s="8" t="inlineStr">
        <is>
          <t>bag/flight</t>
        </is>
      </c>
      <c r="AS19" s="72" t="n"/>
      <c r="AT19" s="75" t="n"/>
      <c r="AU19" s="74">
        <f>U19*V19</f>
        <v/>
      </c>
      <c r="AV19" s="1" t="inlineStr">
        <is>
          <t>EUR</t>
        </is>
      </c>
      <c r="AX19" s="7" t="n"/>
      <c r="AY19" s="7" t="n"/>
      <c r="AZ19" s="8" t="inlineStr">
        <is>
          <t>bag/flight</t>
        </is>
      </c>
      <c r="BA19" s="72" t="n"/>
      <c r="BB19" s="75" t="n"/>
      <c r="BC19" s="74">
        <f>U19*V19</f>
        <v/>
      </c>
      <c r="BD19" s="1" t="inlineStr">
        <is>
          <t>EUR</t>
        </is>
      </c>
      <c r="BF19" s="7" t="n"/>
      <c r="BG19" s="7" t="n"/>
      <c r="BH19" s="8" t="inlineStr">
        <is>
          <t>bag/flight</t>
        </is>
      </c>
      <c r="BI19" s="72" t="n"/>
      <c r="BJ19" s="75" t="n"/>
      <c r="BK19" s="74">
        <f>U19*V19</f>
        <v/>
      </c>
      <c r="BL19" s="1" t="inlineStr">
        <is>
          <t>EUR</t>
        </is>
      </c>
    </row>
    <row r="20">
      <c r="A20" s="6" t="n"/>
      <c r="B20" s="7" t="inlineStr">
        <is>
          <t>Ostalo</t>
        </is>
      </c>
      <c r="C20" s="7" t="n"/>
      <c r="D20" s="8" t="inlineStr">
        <is>
          <t>flight/pax</t>
        </is>
      </c>
      <c r="E20" s="9" t="n">
        <v>26</v>
      </c>
      <c r="F20" s="12" t="n"/>
      <c r="G20" s="10">
        <f>E20*F20</f>
        <v/>
      </c>
      <c r="H20" s="1" t="inlineStr">
        <is>
          <t>EUR</t>
        </is>
      </c>
      <c r="I20" s="6" t="n"/>
      <c r="J20" s="7" t="n"/>
      <c r="K20" s="7" t="n"/>
      <c r="L20" s="8" t="inlineStr">
        <is>
          <t>flight/pax</t>
        </is>
      </c>
      <c r="M20" s="9" t="n"/>
      <c r="N20" s="12" t="n"/>
      <c r="O20" s="10">
        <f>M20*N20</f>
        <v/>
      </c>
      <c r="P20" s="1" t="inlineStr">
        <is>
          <t>EUR</t>
        </is>
      </c>
      <c r="Q20" s="6" t="n"/>
      <c r="R20" s="7" t="n"/>
      <c r="S20" s="7" t="n"/>
      <c r="T20" s="8" t="inlineStr">
        <is>
          <t>flight/pax</t>
        </is>
      </c>
      <c r="U20" s="9" t="n"/>
      <c r="V20" s="12" t="n"/>
      <c r="W20" s="10">
        <f>U20*V20</f>
        <v/>
      </c>
      <c r="X20" s="1" t="inlineStr">
        <is>
          <t>EUR</t>
        </is>
      </c>
      <c r="Z20" s="7" t="n"/>
      <c r="AA20" s="7" t="n"/>
      <c r="AB20" s="8" t="inlineStr">
        <is>
          <t>flight/pax</t>
        </is>
      </c>
      <c r="AC20" s="72" t="n"/>
      <c r="AD20" s="75" t="n"/>
      <c r="AE20" s="74">
        <f>U20*V20</f>
        <v/>
      </c>
      <c r="AF20" s="1" t="inlineStr">
        <is>
          <t>EUR</t>
        </is>
      </c>
      <c r="AH20" s="7" t="n"/>
      <c r="AI20" s="7" t="n"/>
      <c r="AJ20" s="8" t="inlineStr">
        <is>
          <t>flight/pax</t>
        </is>
      </c>
      <c r="AK20" s="72" t="n"/>
      <c r="AL20" s="75" t="n"/>
      <c r="AM20" s="74">
        <f>U20*V20</f>
        <v/>
      </c>
      <c r="AN20" s="1" t="inlineStr">
        <is>
          <t>EUR</t>
        </is>
      </c>
      <c r="AP20" s="7" t="n"/>
      <c r="AQ20" s="7" t="n"/>
      <c r="AR20" s="8" t="inlineStr">
        <is>
          <t>flight/pax</t>
        </is>
      </c>
      <c r="AS20" s="72" t="n"/>
      <c r="AT20" s="75" t="n"/>
      <c r="AU20" s="74">
        <f>U20*V20</f>
        <v/>
      </c>
      <c r="AV20" s="1" t="inlineStr">
        <is>
          <t>EUR</t>
        </is>
      </c>
      <c r="AX20" s="7" t="n"/>
      <c r="AY20" s="7" t="n"/>
      <c r="AZ20" s="8" t="inlineStr">
        <is>
          <t>flight/pax</t>
        </is>
      </c>
      <c r="BA20" s="72" t="n"/>
      <c r="BB20" s="75" t="n"/>
      <c r="BC20" s="74">
        <f>U20*V20</f>
        <v/>
      </c>
      <c r="BD20" s="1" t="inlineStr">
        <is>
          <t>EUR</t>
        </is>
      </c>
      <c r="BF20" s="7" t="n"/>
      <c r="BG20" s="7" t="n"/>
      <c r="BH20" s="8" t="inlineStr">
        <is>
          <t>flight/pax</t>
        </is>
      </c>
      <c r="BI20" s="72" t="n"/>
      <c r="BJ20" s="75" t="n"/>
      <c r="BK20" s="74">
        <f>U20*V20</f>
        <v/>
      </c>
      <c r="BL20" s="1" t="inlineStr">
        <is>
          <t>EUR</t>
        </is>
      </c>
    </row>
    <row r="21">
      <c r="A21" s="6" t="n"/>
      <c r="B21" s="7" t="inlineStr">
        <is>
          <t>Ostalo</t>
        </is>
      </c>
      <c r="C21" s="7" t="n"/>
      <c r="D21" s="8" t="inlineStr">
        <is>
          <t>flight/pax</t>
        </is>
      </c>
      <c r="E21" s="9" t="n"/>
      <c r="F21" s="12" t="n"/>
      <c r="G21" s="10">
        <f>E21*F21</f>
        <v/>
      </c>
      <c r="H21" s="1" t="inlineStr">
        <is>
          <t>EUR</t>
        </is>
      </c>
      <c r="I21" s="6" t="n"/>
      <c r="J21" s="7" t="n"/>
      <c r="K21" s="7" t="n"/>
      <c r="L21" s="8" t="inlineStr">
        <is>
          <t>flight/pax</t>
        </is>
      </c>
      <c r="M21" s="9" t="n"/>
      <c r="N21" s="12" t="n"/>
      <c r="O21" s="10">
        <f>M21*N21</f>
        <v/>
      </c>
      <c r="P21" s="1" t="inlineStr">
        <is>
          <t>EUR</t>
        </is>
      </c>
      <c r="Q21" s="6" t="n"/>
      <c r="R21" s="7" t="n"/>
      <c r="S21" s="7" t="n"/>
      <c r="T21" s="8" t="inlineStr">
        <is>
          <t>flight/pax</t>
        </is>
      </c>
      <c r="U21" s="9" t="n"/>
      <c r="V21" s="12" t="n"/>
      <c r="W21" s="10">
        <f>U21*V21</f>
        <v/>
      </c>
      <c r="X21" s="1" t="inlineStr">
        <is>
          <t>EUR</t>
        </is>
      </c>
      <c r="Z21" s="7" t="n"/>
      <c r="AA21" s="7" t="n"/>
      <c r="AB21" s="8" t="inlineStr">
        <is>
          <t>flight/pax</t>
        </is>
      </c>
      <c r="AC21" s="72" t="n"/>
      <c r="AD21" s="75" t="n"/>
      <c r="AE21" s="74">
        <f>U21*V21</f>
        <v/>
      </c>
      <c r="AF21" s="1" t="inlineStr">
        <is>
          <t>EUR</t>
        </is>
      </c>
      <c r="AH21" s="7" t="n"/>
      <c r="AI21" s="7" t="n"/>
      <c r="AJ21" s="8" t="inlineStr">
        <is>
          <t>flight/pax</t>
        </is>
      </c>
      <c r="AK21" s="72" t="n"/>
      <c r="AL21" s="75" t="n"/>
      <c r="AM21" s="74">
        <f>U21*V21</f>
        <v/>
      </c>
      <c r="AN21" s="1" t="inlineStr">
        <is>
          <t>EUR</t>
        </is>
      </c>
      <c r="AP21" s="7" t="n"/>
      <c r="AQ21" s="7" t="n"/>
      <c r="AR21" s="8" t="inlineStr">
        <is>
          <t>flight/pax</t>
        </is>
      </c>
      <c r="AS21" s="72" t="n"/>
      <c r="AT21" s="75" t="n"/>
      <c r="AU21" s="74">
        <f>U21*V21</f>
        <v/>
      </c>
      <c r="AV21" s="1" t="inlineStr">
        <is>
          <t>EUR</t>
        </is>
      </c>
      <c r="AX21" s="7" t="n"/>
      <c r="AY21" s="7" t="n"/>
      <c r="AZ21" s="8" t="inlineStr">
        <is>
          <t>flight/pax</t>
        </is>
      </c>
      <c r="BA21" s="72" t="n"/>
      <c r="BB21" s="75" t="n"/>
      <c r="BC21" s="74">
        <f>U21*V21</f>
        <v/>
      </c>
      <c r="BD21" s="1" t="inlineStr">
        <is>
          <t>EUR</t>
        </is>
      </c>
      <c r="BF21" s="7" t="n"/>
      <c r="BG21" s="7" t="n"/>
      <c r="BH21" s="8" t="inlineStr">
        <is>
          <t>flight/pax</t>
        </is>
      </c>
      <c r="BI21" s="72" t="n"/>
      <c r="BJ21" s="75" t="n"/>
      <c r="BK21" s="74">
        <f>U21*V21</f>
        <v/>
      </c>
      <c r="BL21" s="1" t="inlineStr">
        <is>
          <t>EUR</t>
        </is>
      </c>
    </row>
    <row r="22">
      <c r="A22" s="6" t="n"/>
      <c r="B22" s="7" t="inlineStr">
        <is>
          <t>Ostalo</t>
        </is>
      </c>
      <c r="C22" s="7" t="n"/>
      <c r="D22" s="8" t="inlineStr">
        <is>
          <t>flight/pax</t>
        </is>
      </c>
      <c r="E22" s="9" t="n"/>
      <c r="F22" s="12" t="n"/>
      <c r="G22" s="10">
        <f>E22*F22</f>
        <v/>
      </c>
      <c r="H22" s="1" t="inlineStr">
        <is>
          <t>EUR</t>
        </is>
      </c>
      <c r="I22" s="6" t="n"/>
      <c r="J22" s="7" t="n"/>
      <c r="K22" s="7" t="n"/>
      <c r="L22" s="8" t="inlineStr">
        <is>
          <t>flight/pax</t>
        </is>
      </c>
      <c r="M22" s="9" t="n"/>
      <c r="N22" s="12" t="n"/>
      <c r="O22" s="10">
        <f>M22*N22</f>
        <v/>
      </c>
      <c r="P22" s="1" t="inlineStr">
        <is>
          <t>EUR</t>
        </is>
      </c>
      <c r="Q22" s="6" t="n"/>
      <c r="R22" s="7" t="n"/>
      <c r="S22" s="7" t="n"/>
      <c r="T22" s="8" t="inlineStr">
        <is>
          <t>flight/pax</t>
        </is>
      </c>
      <c r="U22" s="9" t="n"/>
      <c r="V22" s="12" t="n"/>
      <c r="W22" s="10">
        <f>U22*V22</f>
        <v/>
      </c>
      <c r="X22" s="1" t="inlineStr">
        <is>
          <t>EUR</t>
        </is>
      </c>
      <c r="Z22" s="7" t="n"/>
      <c r="AA22" s="7" t="n"/>
      <c r="AB22" s="8" t="inlineStr">
        <is>
          <t>flight/pax</t>
        </is>
      </c>
      <c r="AC22" s="72" t="n"/>
      <c r="AD22" s="75" t="n"/>
      <c r="AE22" s="74">
        <f>U22*V22</f>
        <v/>
      </c>
      <c r="AF22" s="1" t="inlineStr">
        <is>
          <t>EUR</t>
        </is>
      </c>
      <c r="AH22" s="7" t="n"/>
      <c r="AI22" s="7" t="n"/>
      <c r="AJ22" s="8" t="inlineStr">
        <is>
          <t>flight/pax</t>
        </is>
      </c>
      <c r="AK22" s="72" t="n"/>
      <c r="AL22" s="75" t="n"/>
      <c r="AM22" s="74">
        <f>U22*V22</f>
        <v/>
      </c>
      <c r="AN22" s="1" t="inlineStr">
        <is>
          <t>EUR</t>
        </is>
      </c>
      <c r="AP22" s="7" t="n"/>
      <c r="AQ22" s="7" t="n"/>
      <c r="AR22" s="8" t="inlineStr">
        <is>
          <t>flight/pax</t>
        </is>
      </c>
      <c r="AS22" s="72" t="n"/>
      <c r="AT22" s="75" t="n"/>
      <c r="AU22" s="74">
        <f>U22*V22</f>
        <v/>
      </c>
      <c r="AV22" s="1" t="inlineStr">
        <is>
          <t>EUR</t>
        </is>
      </c>
      <c r="AX22" s="7" t="n"/>
      <c r="AY22" s="7" t="n"/>
      <c r="AZ22" s="8" t="inlineStr">
        <is>
          <t>flight/pax</t>
        </is>
      </c>
      <c r="BA22" s="72" t="n"/>
      <c r="BB22" s="75" t="n"/>
      <c r="BC22" s="74">
        <f>U22*V22</f>
        <v/>
      </c>
      <c r="BD22" s="1" t="inlineStr">
        <is>
          <t>EUR</t>
        </is>
      </c>
      <c r="BF22" s="7" t="n"/>
      <c r="BG22" s="7" t="n"/>
      <c r="BH22" s="8" t="inlineStr">
        <is>
          <t>flight/pax</t>
        </is>
      </c>
      <c r="BI22" s="72" t="n"/>
      <c r="BJ22" s="75" t="n"/>
      <c r="BK22" s="74">
        <f>U22*V22</f>
        <v/>
      </c>
      <c r="BL22" s="1" t="inlineStr">
        <is>
          <t>EUR</t>
        </is>
      </c>
    </row>
    <row r="23">
      <c r="A23" s="6" t="n"/>
      <c r="B23" s="7" t="inlineStr">
        <is>
          <t>Ostalo</t>
        </is>
      </c>
      <c r="C23" s="7" t="n"/>
      <c r="D23" s="8" t="inlineStr">
        <is>
          <t>flight/pax</t>
        </is>
      </c>
      <c r="E23" s="9" t="n"/>
      <c r="F23" s="12" t="n"/>
      <c r="G23" s="10">
        <f>E23*F23</f>
        <v/>
      </c>
      <c r="H23" s="1" t="inlineStr">
        <is>
          <t>EUR</t>
        </is>
      </c>
      <c r="I23" s="6" t="n"/>
      <c r="J23" s="7" t="n"/>
      <c r="K23" s="7" t="n"/>
      <c r="L23" s="8" t="inlineStr">
        <is>
          <t>flight/pax</t>
        </is>
      </c>
      <c r="M23" s="9" t="n"/>
      <c r="N23" s="12" t="n"/>
      <c r="O23" s="10">
        <f>M23*N23</f>
        <v/>
      </c>
      <c r="P23" s="1" t="inlineStr">
        <is>
          <t>EUR</t>
        </is>
      </c>
      <c r="Q23" s="6" t="n"/>
      <c r="R23" s="7" t="n"/>
      <c r="S23" s="7" t="n"/>
      <c r="T23" s="8" t="inlineStr">
        <is>
          <t>flight/pax</t>
        </is>
      </c>
      <c r="U23" s="9" t="n"/>
      <c r="V23" s="12" t="n"/>
      <c r="W23" s="10">
        <f>U23*V23</f>
        <v/>
      </c>
      <c r="X23" s="1" t="inlineStr">
        <is>
          <t>EUR</t>
        </is>
      </c>
      <c r="Z23" s="7" t="n"/>
      <c r="AA23" s="7" t="n"/>
      <c r="AB23" s="8" t="inlineStr">
        <is>
          <t>flight/pax</t>
        </is>
      </c>
      <c r="AC23" s="72" t="n"/>
      <c r="AD23" s="75" t="n"/>
      <c r="AE23" s="74">
        <f>U23*V23</f>
        <v/>
      </c>
      <c r="AF23" s="1" t="inlineStr">
        <is>
          <t>EUR</t>
        </is>
      </c>
      <c r="AH23" s="7" t="n"/>
      <c r="AI23" s="7" t="n"/>
      <c r="AJ23" s="8" t="inlineStr">
        <is>
          <t>flight/pax</t>
        </is>
      </c>
      <c r="AK23" s="72" t="n"/>
      <c r="AL23" s="75" t="n"/>
      <c r="AM23" s="74">
        <f>U23*V23</f>
        <v/>
      </c>
      <c r="AN23" s="1" t="inlineStr">
        <is>
          <t>EUR</t>
        </is>
      </c>
      <c r="AP23" s="7" t="n"/>
      <c r="AQ23" s="7" t="n"/>
      <c r="AR23" s="8" t="inlineStr">
        <is>
          <t>flight/pax</t>
        </is>
      </c>
      <c r="AS23" s="72" t="n"/>
      <c r="AT23" s="75" t="n"/>
      <c r="AU23" s="74">
        <f>U23*V23</f>
        <v/>
      </c>
      <c r="AV23" s="1" t="inlineStr">
        <is>
          <t>EUR</t>
        </is>
      </c>
      <c r="AX23" s="7" t="n"/>
      <c r="AY23" s="7" t="n"/>
      <c r="AZ23" s="8" t="inlineStr">
        <is>
          <t>flight/pax</t>
        </is>
      </c>
      <c r="BA23" s="72" t="n"/>
      <c r="BB23" s="75" t="n"/>
      <c r="BC23" s="74">
        <f>U23*V23</f>
        <v/>
      </c>
      <c r="BD23" s="1" t="inlineStr">
        <is>
          <t>EUR</t>
        </is>
      </c>
      <c r="BF23" s="7" t="n"/>
      <c r="BG23" s="7" t="n"/>
      <c r="BH23" s="8" t="inlineStr">
        <is>
          <t>flight/pax</t>
        </is>
      </c>
      <c r="BI23" s="72" t="n"/>
      <c r="BJ23" s="75" t="n"/>
      <c r="BK23" s="74">
        <f>U23*V23</f>
        <v/>
      </c>
      <c r="BL23" s="1" t="inlineStr">
        <is>
          <t>EUR</t>
        </is>
      </c>
    </row>
    <row r="24">
      <c r="A24" s="6" t="n"/>
      <c r="B24" s="7" t="inlineStr">
        <is>
          <t>Ostalo</t>
        </is>
      </c>
      <c r="C24" s="7" t="n"/>
      <c r="D24" s="8" t="inlineStr">
        <is>
          <t>flight/pax</t>
        </is>
      </c>
      <c r="E24" s="9" t="n"/>
      <c r="F24" s="12" t="n"/>
      <c r="G24" s="10">
        <f>E24*F24</f>
        <v/>
      </c>
      <c r="H24" s="1" t="inlineStr">
        <is>
          <t>EUR</t>
        </is>
      </c>
      <c r="I24" s="6" t="n"/>
      <c r="J24" s="7" t="n"/>
      <c r="K24" s="7" t="n"/>
      <c r="L24" s="8" t="inlineStr">
        <is>
          <t>flight/pax</t>
        </is>
      </c>
      <c r="M24" s="9" t="n"/>
      <c r="N24" s="12" t="n"/>
      <c r="O24" s="10">
        <f>M24*N24</f>
        <v/>
      </c>
      <c r="P24" s="1" t="inlineStr">
        <is>
          <t>EUR</t>
        </is>
      </c>
      <c r="Q24" s="6" t="n"/>
      <c r="R24" s="7" t="n"/>
      <c r="S24" s="7" t="n"/>
      <c r="T24" s="8" t="inlineStr">
        <is>
          <t>flight/pax</t>
        </is>
      </c>
      <c r="U24" s="9" t="n"/>
      <c r="V24" s="12" t="n"/>
      <c r="W24" s="10">
        <f>U24*V24</f>
        <v/>
      </c>
      <c r="X24" s="1" t="inlineStr">
        <is>
          <t>EUR</t>
        </is>
      </c>
      <c r="Z24" s="7" t="n"/>
      <c r="AA24" s="7" t="n"/>
      <c r="AB24" s="8" t="inlineStr">
        <is>
          <t>flight/pax</t>
        </is>
      </c>
      <c r="AC24" s="72" t="n"/>
      <c r="AD24" s="75" t="n"/>
      <c r="AE24" s="74">
        <f>U24*V24</f>
        <v/>
      </c>
      <c r="AF24" s="1" t="inlineStr">
        <is>
          <t>EUR</t>
        </is>
      </c>
      <c r="AH24" s="7" t="n"/>
      <c r="AI24" s="7" t="n"/>
      <c r="AJ24" s="8" t="inlineStr">
        <is>
          <t>flight/pax</t>
        </is>
      </c>
      <c r="AK24" s="72" t="n"/>
      <c r="AL24" s="75" t="n"/>
      <c r="AM24" s="74">
        <f>U24*V24</f>
        <v/>
      </c>
      <c r="AN24" s="1" t="inlineStr">
        <is>
          <t>EUR</t>
        </is>
      </c>
      <c r="AP24" s="7" t="n"/>
      <c r="AQ24" s="7" t="n"/>
      <c r="AR24" s="8" t="inlineStr">
        <is>
          <t>flight/pax</t>
        </is>
      </c>
      <c r="AS24" s="72" t="n"/>
      <c r="AT24" s="75" t="n"/>
      <c r="AU24" s="74">
        <f>U24*V24</f>
        <v/>
      </c>
      <c r="AV24" s="1" t="inlineStr">
        <is>
          <t>EUR</t>
        </is>
      </c>
      <c r="AX24" s="7" t="n"/>
      <c r="AY24" s="7" t="n"/>
      <c r="AZ24" s="8" t="inlineStr">
        <is>
          <t>flight/pax</t>
        </is>
      </c>
      <c r="BA24" s="72" t="n"/>
      <c r="BB24" s="75" t="n"/>
      <c r="BC24" s="74">
        <f>U24*V24</f>
        <v/>
      </c>
      <c r="BD24" s="1" t="inlineStr">
        <is>
          <t>EUR</t>
        </is>
      </c>
      <c r="BF24" s="7" t="n"/>
      <c r="BG24" s="7" t="n"/>
      <c r="BH24" s="8" t="inlineStr">
        <is>
          <t>flight/pax</t>
        </is>
      </c>
      <c r="BI24" s="72" t="n"/>
      <c r="BJ24" s="75" t="n"/>
      <c r="BK24" s="74">
        <f>U24*V24</f>
        <v/>
      </c>
      <c r="BL24" s="1" t="inlineStr">
        <is>
          <t>EUR</t>
        </is>
      </c>
    </row>
    <row r="25">
      <c r="A25" s="6" t="n"/>
      <c r="B25" s="7" t="inlineStr">
        <is>
          <t>Ostalo</t>
        </is>
      </c>
      <c r="C25" s="7" t="n"/>
      <c r="D25" s="8" t="inlineStr">
        <is>
          <t>flight/pax</t>
        </is>
      </c>
      <c r="E25" s="9" t="n"/>
      <c r="F25" s="12" t="n"/>
      <c r="G25" s="10">
        <f>E25*F25</f>
        <v/>
      </c>
      <c r="H25" s="1" t="inlineStr">
        <is>
          <t>EUR</t>
        </is>
      </c>
      <c r="I25" s="6" t="n"/>
      <c r="J25" s="7" t="n"/>
      <c r="K25" s="7" t="n"/>
      <c r="L25" s="8" t="inlineStr">
        <is>
          <t>flight/pax</t>
        </is>
      </c>
      <c r="M25" s="9" t="n"/>
      <c r="N25" s="12" t="n"/>
      <c r="O25" s="10">
        <f>M25*N25</f>
        <v/>
      </c>
      <c r="P25" s="1" t="inlineStr">
        <is>
          <t>EUR</t>
        </is>
      </c>
      <c r="Q25" s="6" t="n"/>
      <c r="R25" s="7" t="n"/>
      <c r="S25" s="7" t="n"/>
      <c r="T25" s="8" t="inlineStr">
        <is>
          <t>flight/pax</t>
        </is>
      </c>
      <c r="U25" s="9" t="n"/>
      <c r="V25" s="12" t="n"/>
      <c r="W25" s="10">
        <f>U25*V25</f>
        <v/>
      </c>
      <c r="X25" s="1" t="inlineStr">
        <is>
          <t>EUR</t>
        </is>
      </c>
      <c r="Z25" s="7" t="n"/>
      <c r="AA25" s="7" t="n"/>
      <c r="AB25" s="8" t="inlineStr">
        <is>
          <t>flight/pax</t>
        </is>
      </c>
      <c r="AC25" s="72" t="n"/>
      <c r="AD25" s="75" t="n"/>
      <c r="AE25" s="74">
        <f>U25*V25</f>
        <v/>
      </c>
      <c r="AF25" s="1" t="inlineStr">
        <is>
          <t>EUR</t>
        </is>
      </c>
      <c r="AH25" s="7" t="n"/>
      <c r="AI25" s="7" t="n"/>
      <c r="AJ25" s="8" t="inlineStr">
        <is>
          <t>flight/pax</t>
        </is>
      </c>
      <c r="AK25" s="72" t="n"/>
      <c r="AL25" s="75" t="n"/>
      <c r="AM25" s="74">
        <f>U25*V25</f>
        <v/>
      </c>
      <c r="AN25" s="1" t="inlineStr">
        <is>
          <t>EUR</t>
        </is>
      </c>
      <c r="AP25" s="7" t="n"/>
      <c r="AQ25" s="7" t="n"/>
      <c r="AR25" s="8" t="inlineStr">
        <is>
          <t>flight/pax</t>
        </is>
      </c>
      <c r="AS25" s="72" t="n"/>
      <c r="AT25" s="75" t="n"/>
      <c r="AU25" s="74">
        <f>U25*V25</f>
        <v/>
      </c>
      <c r="AV25" s="1" t="inlineStr">
        <is>
          <t>EUR</t>
        </is>
      </c>
      <c r="AX25" s="7" t="n"/>
      <c r="AY25" s="7" t="n"/>
      <c r="AZ25" s="8" t="inlineStr">
        <is>
          <t>flight/pax</t>
        </is>
      </c>
      <c r="BA25" s="72" t="n"/>
      <c r="BB25" s="75" t="n"/>
      <c r="BC25" s="74">
        <f>U25*V25</f>
        <v/>
      </c>
      <c r="BD25" s="1" t="inlineStr">
        <is>
          <t>EUR</t>
        </is>
      </c>
      <c r="BF25" s="7" t="n"/>
      <c r="BG25" s="7" t="n"/>
      <c r="BH25" s="8" t="inlineStr">
        <is>
          <t>flight/pax</t>
        </is>
      </c>
      <c r="BI25" s="72" t="n"/>
      <c r="BJ25" s="75" t="n"/>
      <c r="BK25" s="74">
        <f>U25*V25</f>
        <v/>
      </c>
      <c r="BL25" s="1" t="inlineStr">
        <is>
          <t>EUR</t>
        </is>
      </c>
    </row>
    <row r="26">
      <c r="A26" s="6" t="n"/>
      <c r="B26" s="7" t="inlineStr">
        <is>
          <t>Ostalo</t>
        </is>
      </c>
      <c r="C26" s="7" t="n"/>
      <c r="D26" s="8" t="inlineStr">
        <is>
          <t>flight/pax</t>
        </is>
      </c>
      <c r="E26" s="9" t="n"/>
      <c r="F26" s="12" t="n"/>
      <c r="G26" s="10">
        <f>E26*F26</f>
        <v/>
      </c>
      <c r="H26" s="1" t="inlineStr">
        <is>
          <t>EUR</t>
        </is>
      </c>
      <c r="I26" s="6" t="n"/>
      <c r="J26" s="7" t="n"/>
      <c r="K26" s="7" t="n"/>
      <c r="L26" s="8" t="inlineStr">
        <is>
          <t>flight/pax</t>
        </is>
      </c>
      <c r="M26" s="9" t="n"/>
      <c r="N26" s="12" t="n"/>
      <c r="O26" s="10">
        <f>M26*N26</f>
        <v/>
      </c>
      <c r="P26" s="1" t="inlineStr">
        <is>
          <t>EUR</t>
        </is>
      </c>
      <c r="Q26" s="6" t="n"/>
      <c r="R26" s="7" t="n"/>
      <c r="S26" s="7" t="n"/>
      <c r="T26" s="8" t="inlineStr">
        <is>
          <t>flight/pax</t>
        </is>
      </c>
      <c r="U26" s="9" t="n"/>
      <c r="V26" s="12" t="n"/>
      <c r="W26" s="10">
        <f>U26*V26</f>
        <v/>
      </c>
      <c r="X26" s="1" t="inlineStr">
        <is>
          <t>EUR</t>
        </is>
      </c>
      <c r="Z26" s="7" t="n"/>
      <c r="AA26" s="7" t="n"/>
      <c r="AB26" s="8" t="inlineStr">
        <is>
          <t>flight/pax</t>
        </is>
      </c>
      <c r="AC26" s="72" t="n"/>
      <c r="AD26" s="75" t="n"/>
      <c r="AE26" s="74">
        <f>U26*V26</f>
        <v/>
      </c>
      <c r="AF26" s="1" t="inlineStr">
        <is>
          <t>EUR</t>
        </is>
      </c>
      <c r="AH26" s="7" t="n"/>
      <c r="AI26" s="7" t="n"/>
      <c r="AJ26" s="8" t="inlineStr">
        <is>
          <t>flight/pax</t>
        </is>
      </c>
      <c r="AK26" s="72" t="n"/>
      <c r="AL26" s="75" t="n"/>
      <c r="AM26" s="74">
        <f>U26*V26</f>
        <v/>
      </c>
      <c r="AN26" s="1" t="inlineStr">
        <is>
          <t>EUR</t>
        </is>
      </c>
      <c r="AP26" s="7" t="n"/>
      <c r="AQ26" s="7" t="n"/>
      <c r="AR26" s="8" t="inlineStr">
        <is>
          <t>flight/pax</t>
        </is>
      </c>
      <c r="AS26" s="72" t="n"/>
      <c r="AT26" s="75" t="n"/>
      <c r="AU26" s="74">
        <f>U26*V26</f>
        <v/>
      </c>
      <c r="AV26" s="1" t="inlineStr">
        <is>
          <t>EUR</t>
        </is>
      </c>
      <c r="AX26" s="7" t="n"/>
      <c r="AY26" s="7" t="n"/>
      <c r="AZ26" s="8" t="inlineStr">
        <is>
          <t>flight/pax</t>
        </is>
      </c>
      <c r="BA26" s="72" t="n"/>
      <c r="BB26" s="75" t="n"/>
      <c r="BC26" s="74">
        <f>U26*V26</f>
        <v/>
      </c>
      <c r="BD26" s="1" t="inlineStr">
        <is>
          <t>EUR</t>
        </is>
      </c>
      <c r="BF26" s="7" t="n"/>
      <c r="BG26" s="7" t="n"/>
      <c r="BH26" s="8" t="inlineStr">
        <is>
          <t>flight/pax</t>
        </is>
      </c>
      <c r="BI26" s="72" t="n"/>
      <c r="BJ26" s="75" t="n"/>
      <c r="BK26" s="74">
        <f>U26*V26</f>
        <v/>
      </c>
      <c r="BL26" s="1" t="inlineStr">
        <is>
          <t>EUR</t>
        </is>
      </c>
    </row>
    <row r="27">
      <c r="A27" s="6" t="n"/>
      <c r="B27" s="7" t="inlineStr">
        <is>
          <t>Ostalo</t>
        </is>
      </c>
      <c r="C27" s="7" t="n"/>
      <c r="D27" s="8" t="inlineStr">
        <is>
          <t>flight/pax</t>
        </is>
      </c>
      <c r="E27" s="9" t="n"/>
      <c r="F27" s="12" t="n"/>
      <c r="G27" s="10">
        <f>E27*F27</f>
        <v/>
      </c>
      <c r="H27" s="1" t="inlineStr">
        <is>
          <t>EUR</t>
        </is>
      </c>
      <c r="I27" s="6" t="n"/>
      <c r="J27" s="7" t="n"/>
      <c r="K27" s="7" t="n"/>
      <c r="L27" s="8" t="inlineStr">
        <is>
          <t>flight/pax</t>
        </is>
      </c>
      <c r="M27" s="9" t="n"/>
      <c r="N27" s="12" t="n"/>
      <c r="O27" s="10">
        <f>M27*N27</f>
        <v/>
      </c>
      <c r="P27" s="1" t="inlineStr">
        <is>
          <t>EUR</t>
        </is>
      </c>
      <c r="Q27" s="6" t="n"/>
      <c r="R27" s="7" t="n"/>
      <c r="S27" s="7" t="n"/>
      <c r="T27" s="8" t="inlineStr">
        <is>
          <t>flight/pax</t>
        </is>
      </c>
      <c r="U27" s="9" t="n"/>
      <c r="V27" s="12" t="n"/>
      <c r="W27" s="10">
        <f>U27*V27</f>
        <v/>
      </c>
      <c r="X27" s="1" t="inlineStr">
        <is>
          <t>EUR</t>
        </is>
      </c>
      <c r="Z27" s="7" t="n"/>
      <c r="AA27" s="7" t="n"/>
      <c r="AB27" s="8" t="inlineStr">
        <is>
          <t>flight/pax</t>
        </is>
      </c>
      <c r="AC27" s="72" t="n"/>
      <c r="AD27" s="75" t="n"/>
      <c r="AE27" s="74">
        <f>U27*V27</f>
        <v/>
      </c>
      <c r="AF27" s="1" t="inlineStr">
        <is>
          <t>EUR</t>
        </is>
      </c>
      <c r="AH27" s="7" t="n"/>
      <c r="AI27" s="7" t="n"/>
      <c r="AJ27" s="8" t="inlineStr">
        <is>
          <t>flight/pax</t>
        </is>
      </c>
      <c r="AK27" s="72" t="n"/>
      <c r="AL27" s="75" t="n"/>
      <c r="AM27" s="74">
        <f>U27*V27</f>
        <v/>
      </c>
      <c r="AN27" s="1" t="inlineStr">
        <is>
          <t>EUR</t>
        </is>
      </c>
      <c r="AP27" s="7" t="n"/>
      <c r="AQ27" s="7" t="n"/>
      <c r="AR27" s="8" t="inlineStr">
        <is>
          <t>flight/pax</t>
        </is>
      </c>
      <c r="AS27" s="72" t="n"/>
      <c r="AT27" s="75" t="n"/>
      <c r="AU27" s="74">
        <f>U27*V27</f>
        <v/>
      </c>
      <c r="AV27" s="1" t="inlineStr">
        <is>
          <t>EUR</t>
        </is>
      </c>
      <c r="AX27" s="7" t="n"/>
      <c r="AY27" s="7" t="n"/>
      <c r="AZ27" s="8" t="inlineStr">
        <is>
          <t>flight/pax</t>
        </is>
      </c>
      <c r="BA27" s="72" t="n"/>
      <c r="BB27" s="75" t="n"/>
      <c r="BC27" s="74">
        <f>U27*V27</f>
        <v/>
      </c>
      <c r="BD27" s="1" t="inlineStr">
        <is>
          <t>EUR</t>
        </is>
      </c>
      <c r="BF27" s="7" t="n"/>
      <c r="BG27" s="7" t="n"/>
      <c r="BH27" s="8" t="inlineStr">
        <is>
          <t>flight/pax</t>
        </is>
      </c>
      <c r="BI27" s="72" t="n"/>
      <c r="BJ27" s="75" t="n"/>
      <c r="BK27" s="74">
        <f>U27*V27</f>
        <v/>
      </c>
      <c r="BL27" s="1" t="inlineStr">
        <is>
          <t>EUR</t>
        </is>
      </c>
    </row>
    <row r="28">
      <c r="A28" s="6" t="n"/>
      <c r="B28" s="7" t="inlineStr">
        <is>
          <t>Ostalo</t>
        </is>
      </c>
      <c r="C28" s="7" t="n"/>
      <c r="D28" s="8" t="inlineStr">
        <is>
          <t>flight/pax</t>
        </is>
      </c>
      <c r="E28" s="9" t="n"/>
      <c r="F28" s="12" t="n"/>
      <c r="G28" s="10">
        <f>E28*F28</f>
        <v/>
      </c>
      <c r="H28" s="1" t="inlineStr">
        <is>
          <t>EUR</t>
        </is>
      </c>
      <c r="I28" s="6" t="n"/>
      <c r="J28" s="7" t="n"/>
      <c r="K28" s="7" t="n"/>
      <c r="L28" s="8" t="inlineStr">
        <is>
          <t>flight/pax</t>
        </is>
      </c>
      <c r="M28" s="9" t="n"/>
      <c r="N28" s="12" t="n"/>
      <c r="O28" s="10">
        <f>M28*N28</f>
        <v/>
      </c>
      <c r="P28" s="1" t="inlineStr">
        <is>
          <t>EUR</t>
        </is>
      </c>
      <c r="Q28" s="6" t="n"/>
      <c r="R28" s="7" t="n"/>
      <c r="S28" s="7" t="n"/>
      <c r="T28" s="8" t="inlineStr">
        <is>
          <t>flight/pax</t>
        </is>
      </c>
      <c r="U28" s="9" t="n"/>
      <c r="V28" s="12" t="n"/>
      <c r="W28" s="10">
        <f>U28*V28</f>
        <v/>
      </c>
      <c r="X28" s="1" t="inlineStr">
        <is>
          <t>EUR</t>
        </is>
      </c>
      <c r="Z28" s="7" t="n"/>
      <c r="AA28" s="7" t="n"/>
      <c r="AB28" s="8" t="inlineStr">
        <is>
          <t>flight/pax</t>
        </is>
      </c>
      <c r="AC28" s="72" t="n"/>
      <c r="AD28" s="75" t="n"/>
      <c r="AE28" s="74">
        <f>U28*V28</f>
        <v/>
      </c>
      <c r="AF28" s="1" t="inlineStr">
        <is>
          <t>EUR</t>
        </is>
      </c>
      <c r="AH28" s="7" t="n"/>
      <c r="AI28" s="7" t="n"/>
      <c r="AJ28" s="8" t="inlineStr">
        <is>
          <t>flight/pax</t>
        </is>
      </c>
      <c r="AK28" s="72" t="n"/>
      <c r="AL28" s="75" t="n"/>
      <c r="AM28" s="74">
        <f>U28*V28</f>
        <v/>
      </c>
      <c r="AN28" s="1" t="inlineStr">
        <is>
          <t>EUR</t>
        </is>
      </c>
      <c r="AP28" s="7" t="n"/>
      <c r="AQ28" s="7" t="n"/>
      <c r="AR28" s="8" t="inlineStr">
        <is>
          <t>flight/pax</t>
        </is>
      </c>
      <c r="AS28" s="72" t="n"/>
      <c r="AT28" s="75" t="n"/>
      <c r="AU28" s="74">
        <f>U28*V28</f>
        <v/>
      </c>
      <c r="AV28" s="1" t="inlineStr">
        <is>
          <t>EUR</t>
        </is>
      </c>
      <c r="AX28" s="7" t="n"/>
      <c r="AY28" s="7" t="n"/>
      <c r="AZ28" s="8" t="inlineStr">
        <is>
          <t>flight/pax</t>
        </is>
      </c>
      <c r="BA28" s="72" t="n"/>
      <c r="BB28" s="75" t="n"/>
      <c r="BC28" s="74">
        <f>U28*V28</f>
        <v/>
      </c>
      <c r="BD28" s="1" t="inlineStr">
        <is>
          <t>EUR</t>
        </is>
      </c>
      <c r="BF28" s="7" t="n"/>
      <c r="BG28" s="7" t="n"/>
      <c r="BH28" s="8" t="inlineStr">
        <is>
          <t>flight/pax</t>
        </is>
      </c>
      <c r="BI28" s="72" t="n"/>
      <c r="BJ28" s="75" t="n"/>
      <c r="BK28" s="74">
        <f>U28*V28</f>
        <v/>
      </c>
      <c r="BL28" s="1" t="inlineStr">
        <is>
          <t>EUR</t>
        </is>
      </c>
    </row>
    <row r="29">
      <c r="A29" s="6" t="n"/>
      <c r="B29" s="7" t="inlineStr">
        <is>
          <t>Ostalo</t>
        </is>
      </c>
      <c r="C29" s="7" t="n"/>
      <c r="D29" s="8" t="inlineStr">
        <is>
          <t>flight/pax</t>
        </is>
      </c>
      <c r="E29" s="9" t="n"/>
      <c r="F29" s="12" t="n"/>
      <c r="G29" s="10">
        <f>E29*F29</f>
        <v/>
      </c>
      <c r="H29" s="1" t="inlineStr">
        <is>
          <t>EUR</t>
        </is>
      </c>
      <c r="I29" s="6" t="n"/>
      <c r="J29" s="7" t="n"/>
      <c r="K29" s="7" t="n"/>
      <c r="L29" s="8" t="inlineStr">
        <is>
          <t>flight/pax</t>
        </is>
      </c>
      <c r="M29" s="9" t="n"/>
      <c r="N29" s="12" t="n"/>
      <c r="O29" s="10">
        <f>M29*N29</f>
        <v/>
      </c>
      <c r="P29" s="1" t="inlineStr">
        <is>
          <t>EUR</t>
        </is>
      </c>
      <c r="Q29" s="6" t="n"/>
      <c r="R29" s="7" t="n"/>
      <c r="S29" s="7" t="n"/>
      <c r="T29" s="8" t="inlineStr">
        <is>
          <t>flight/pax</t>
        </is>
      </c>
      <c r="U29" s="9" t="n"/>
      <c r="V29" s="12" t="n"/>
      <c r="W29" s="10">
        <f>U29*V29</f>
        <v/>
      </c>
      <c r="X29" s="1" t="inlineStr">
        <is>
          <t>EUR</t>
        </is>
      </c>
      <c r="Z29" s="7" t="n"/>
      <c r="AA29" s="7" t="n"/>
      <c r="AB29" s="8" t="inlineStr">
        <is>
          <t>flight/pax</t>
        </is>
      </c>
      <c r="AC29" s="72" t="n"/>
      <c r="AD29" s="75" t="n"/>
      <c r="AE29" s="74">
        <f>U29*V29</f>
        <v/>
      </c>
      <c r="AF29" s="1" t="inlineStr">
        <is>
          <t>EUR</t>
        </is>
      </c>
      <c r="AH29" s="7" t="n"/>
      <c r="AI29" s="7" t="n"/>
      <c r="AJ29" s="8" t="inlineStr">
        <is>
          <t>flight/pax</t>
        </is>
      </c>
      <c r="AK29" s="72" t="n"/>
      <c r="AL29" s="75" t="n"/>
      <c r="AM29" s="74">
        <f>U29*V29</f>
        <v/>
      </c>
      <c r="AN29" s="1" t="inlineStr">
        <is>
          <t>EUR</t>
        </is>
      </c>
      <c r="AP29" s="7" t="n"/>
      <c r="AQ29" s="7" t="n"/>
      <c r="AR29" s="8" t="inlineStr">
        <is>
          <t>flight/pax</t>
        </is>
      </c>
      <c r="AS29" s="72" t="n"/>
      <c r="AT29" s="75" t="n"/>
      <c r="AU29" s="74">
        <f>U29*V29</f>
        <v/>
      </c>
      <c r="AV29" s="1" t="inlineStr">
        <is>
          <t>EUR</t>
        </is>
      </c>
      <c r="AX29" s="7" t="n"/>
      <c r="AY29" s="7" t="n"/>
      <c r="AZ29" s="8" t="inlineStr">
        <is>
          <t>flight/pax</t>
        </is>
      </c>
      <c r="BA29" s="72" t="n"/>
      <c r="BB29" s="75" t="n"/>
      <c r="BC29" s="74">
        <f>U29*V29</f>
        <v/>
      </c>
      <c r="BD29" s="1" t="inlineStr">
        <is>
          <t>EUR</t>
        </is>
      </c>
      <c r="BF29" s="7" t="n"/>
      <c r="BG29" s="7" t="n"/>
      <c r="BH29" s="8" t="inlineStr">
        <is>
          <t>flight/pax</t>
        </is>
      </c>
      <c r="BI29" s="72" t="n"/>
      <c r="BJ29" s="75" t="n"/>
      <c r="BK29" s="74">
        <f>U29*V29</f>
        <v/>
      </c>
      <c r="BL29" s="1" t="inlineStr">
        <is>
          <t>EUR</t>
        </is>
      </c>
    </row>
    <row r="30">
      <c r="A30" s="6" t="n"/>
      <c r="B30" s="7" t="inlineStr">
        <is>
          <t>Ostalo</t>
        </is>
      </c>
      <c r="C30" s="7" t="n"/>
      <c r="D30" s="8" t="inlineStr">
        <is>
          <t>flight/pax</t>
        </is>
      </c>
      <c r="E30" s="9" t="n"/>
      <c r="F30" s="12" t="n"/>
      <c r="G30" s="10">
        <f>E30*F30</f>
        <v/>
      </c>
      <c r="H30" s="1" t="inlineStr">
        <is>
          <t>EUR</t>
        </is>
      </c>
      <c r="I30" s="6" t="n"/>
      <c r="J30" s="7" t="n"/>
      <c r="K30" s="7" t="n"/>
      <c r="L30" s="8" t="inlineStr">
        <is>
          <t>flight/pax</t>
        </is>
      </c>
      <c r="M30" s="9" t="n"/>
      <c r="N30" s="12" t="n"/>
      <c r="O30" s="10">
        <f>M30*N30</f>
        <v/>
      </c>
      <c r="P30" s="1" t="inlineStr">
        <is>
          <t>EUR</t>
        </is>
      </c>
      <c r="Q30" s="6" t="n"/>
      <c r="R30" s="7" t="n"/>
      <c r="S30" s="7" t="n"/>
      <c r="T30" s="8" t="inlineStr">
        <is>
          <t>flight/pax</t>
        </is>
      </c>
      <c r="U30" s="9" t="n"/>
      <c r="V30" s="12" t="n"/>
      <c r="W30" s="10">
        <f>U30*V30</f>
        <v/>
      </c>
      <c r="X30" s="1" t="inlineStr">
        <is>
          <t>EUR</t>
        </is>
      </c>
      <c r="Z30" s="7" t="n"/>
      <c r="AA30" s="7" t="n"/>
      <c r="AB30" s="8" t="inlineStr">
        <is>
          <t>flight/pax</t>
        </is>
      </c>
      <c r="AC30" s="72" t="n"/>
      <c r="AD30" s="75" t="n"/>
      <c r="AE30" s="74">
        <f>U30*V30</f>
        <v/>
      </c>
      <c r="AF30" s="1" t="inlineStr">
        <is>
          <t>EUR</t>
        </is>
      </c>
      <c r="AH30" s="7" t="n"/>
      <c r="AI30" s="7" t="n"/>
      <c r="AJ30" s="8" t="inlineStr">
        <is>
          <t>flight/pax</t>
        </is>
      </c>
      <c r="AK30" s="72" t="n"/>
      <c r="AL30" s="75" t="n"/>
      <c r="AM30" s="74">
        <f>U30*V30</f>
        <v/>
      </c>
      <c r="AN30" s="1" t="inlineStr">
        <is>
          <t>EUR</t>
        </is>
      </c>
      <c r="AP30" s="7" t="n"/>
      <c r="AQ30" s="7" t="n"/>
      <c r="AR30" s="8" t="inlineStr">
        <is>
          <t>flight/pax</t>
        </is>
      </c>
      <c r="AS30" s="72" t="n"/>
      <c r="AT30" s="75" t="n"/>
      <c r="AU30" s="74">
        <f>U30*V30</f>
        <v/>
      </c>
      <c r="AV30" s="1" t="inlineStr">
        <is>
          <t>EUR</t>
        </is>
      </c>
      <c r="AX30" s="7" t="n"/>
      <c r="AY30" s="7" t="n"/>
      <c r="AZ30" s="8" t="inlineStr">
        <is>
          <t>flight/pax</t>
        </is>
      </c>
      <c r="BA30" s="72" t="n"/>
      <c r="BB30" s="75" t="n"/>
      <c r="BC30" s="74">
        <f>U30*V30</f>
        <v/>
      </c>
      <c r="BD30" s="1" t="inlineStr">
        <is>
          <t>EUR</t>
        </is>
      </c>
      <c r="BF30" s="7" t="n"/>
      <c r="BG30" s="7" t="n"/>
      <c r="BH30" s="8" t="inlineStr">
        <is>
          <t>flight/pax</t>
        </is>
      </c>
      <c r="BI30" s="72" t="n"/>
      <c r="BJ30" s="75" t="n"/>
      <c r="BK30" s="74">
        <f>U30*V30</f>
        <v/>
      </c>
      <c r="BL30" s="1" t="inlineStr">
        <is>
          <t>EUR</t>
        </is>
      </c>
    </row>
    <row r="31">
      <c r="A31" s="6" t="n"/>
      <c r="B31" s="7" t="inlineStr">
        <is>
          <t>Ostalo</t>
        </is>
      </c>
      <c r="C31" s="7" t="n"/>
      <c r="D31" s="8" t="inlineStr">
        <is>
          <t>flight/pax</t>
        </is>
      </c>
      <c r="E31" s="9" t="n"/>
      <c r="F31" s="12" t="n"/>
      <c r="G31" s="10">
        <f>E31*F31</f>
        <v/>
      </c>
      <c r="H31" s="1" t="inlineStr">
        <is>
          <t>EUR</t>
        </is>
      </c>
      <c r="I31" s="6" t="n"/>
      <c r="J31" s="7" t="n"/>
      <c r="K31" s="7" t="n"/>
      <c r="L31" s="8" t="inlineStr">
        <is>
          <t>flight/pax</t>
        </is>
      </c>
      <c r="M31" s="9" t="n"/>
      <c r="N31" s="12" t="n"/>
      <c r="O31" s="10">
        <f>M31*N31</f>
        <v/>
      </c>
      <c r="P31" s="1" t="inlineStr">
        <is>
          <t>EUR</t>
        </is>
      </c>
      <c r="Q31" s="6" t="n"/>
      <c r="R31" s="7" t="n"/>
      <c r="S31" s="7" t="n"/>
      <c r="T31" s="8" t="inlineStr">
        <is>
          <t>flight/pax</t>
        </is>
      </c>
      <c r="U31" s="9" t="n"/>
      <c r="V31" s="12" t="n"/>
      <c r="W31" s="10">
        <f>U31*V31</f>
        <v/>
      </c>
      <c r="X31" s="1" t="inlineStr">
        <is>
          <t>EUR</t>
        </is>
      </c>
      <c r="Z31" s="7" t="n"/>
      <c r="AA31" s="7" t="n"/>
      <c r="AB31" s="8" t="inlineStr">
        <is>
          <t>flight/pax</t>
        </is>
      </c>
      <c r="AC31" s="72" t="n"/>
      <c r="AD31" s="75" t="n"/>
      <c r="AE31" s="74">
        <f>U31*V31</f>
        <v/>
      </c>
      <c r="AF31" s="1" t="inlineStr">
        <is>
          <t>EUR</t>
        </is>
      </c>
      <c r="AH31" s="7" t="n"/>
      <c r="AI31" s="7" t="n"/>
      <c r="AJ31" s="8" t="inlineStr">
        <is>
          <t>flight/pax</t>
        </is>
      </c>
      <c r="AK31" s="72" t="n"/>
      <c r="AL31" s="75" t="n"/>
      <c r="AM31" s="74">
        <f>U31*V31</f>
        <v/>
      </c>
      <c r="AN31" s="1" t="inlineStr">
        <is>
          <t>EUR</t>
        </is>
      </c>
      <c r="AP31" s="7" t="n"/>
      <c r="AQ31" s="7" t="n"/>
      <c r="AR31" s="8" t="inlineStr">
        <is>
          <t>flight/pax</t>
        </is>
      </c>
      <c r="AS31" s="72" t="n"/>
      <c r="AT31" s="75" t="n"/>
      <c r="AU31" s="74">
        <f>U31*V31</f>
        <v/>
      </c>
      <c r="AV31" s="1" t="inlineStr">
        <is>
          <t>EUR</t>
        </is>
      </c>
      <c r="AX31" s="7" t="n"/>
      <c r="AY31" s="7" t="n"/>
      <c r="AZ31" s="8" t="inlineStr">
        <is>
          <t>flight/pax</t>
        </is>
      </c>
      <c r="BA31" s="72" t="n"/>
      <c r="BB31" s="75" t="n"/>
      <c r="BC31" s="74">
        <f>U31*V31</f>
        <v/>
      </c>
      <c r="BD31" s="1" t="inlineStr">
        <is>
          <t>EUR</t>
        </is>
      </c>
      <c r="BF31" s="7" t="n"/>
      <c r="BG31" s="7" t="n"/>
      <c r="BH31" s="8" t="inlineStr">
        <is>
          <t>flight/pax</t>
        </is>
      </c>
      <c r="BI31" s="72" t="n"/>
      <c r="BJ31" s="75" t="n"/>
      <c r="BK31" s="74">
        <f>U31*V31</f>
        <v/>
      </c>
      <c r="BL31" s="1" t="inlineStr">
        <is>
          <t>EUR</t>
        </is>
      </c>
    </row>
    <row r="32">
      <c r="A32" s="6" t="n"/>
      <c r="B32" s="7" t="inlineStr">
        <is>
          <t>Ostalo</t>
        </is>
      </c>
      <c r="C32" s="7" t="n"/>
      <c r="D32" s="8" t="inlineStr">
        <is>
          <t>flight/pax</t>
        </is>
      </c>
      <c r="E32" s="9" t="n"/>
      <c r="F32" s="12" t="n"/>
      <c r="G32" s="10">
        <f>E32*F32</f>
        <v/>
      </c>
      <c r="H32" s="1" t="inlineStr">
        <is>
          <t>EUR</t>
        </is>
      </c>
      <c r="I32" s="6" t="n"/>
      <c r="J32" s="7" t="n"/>
      <c r="K32" s="7" t="n"/>
      <c r="L32" s="8" t="inlineStr">
        <is>
          <t>flight/pax</t>
        </is>
      </c>
      <c r="M32" s="9" t="n"/>
      <c r="N32" s="12" t="n"/>
      <c r="O32" s="10">
        <f>M32*N32</f>
        <v/>
      </c>
      <c r="P32" s="1" t="inlineStr">
        <is>
          <t>EUR</t>
        </is>
      </c>
      <c r="Q32" s="6" t="n"/>
      <c r="R32" s="7" t="n"/>
      <c r="S32" s="7" t="n"/>
      <c r="T32" s="8" t="inlineStr">
        <is>
          <t>flight/pax</t>
        </is>
      </c>
      <c r="U32" s="9" t="n"/>
      <c r="V32" s="12" t="n"/>
      <c r="W32" s="10">
        <f>U32*V32</f>
        <v/>
      </c>
      <c r="X32" s="1" t="inlineStr">
        <is>
          <t>EUR</t>
        </is>
      </c>
      <c r="Z32" s="7" t="n"/>
      <c r="AA32" s="7" t="n"/>
      <c r="AB32" s="8" t="inlineStr">
        <is>
          <t>flight/pax</t>
        </is>
      </c>
      <c r="AC32" s="72" t="n"/>
      <c r="AD32" s="75" t="n"/>
      <c r="AE32" s="74">
        <f>U32*V32</f>
        <v/>
      </c>
      <c r="AF32" s="1" t="inlineStr">
        <is>
          <t>EUR</t>
        </is>
      </c>
      <c r="AH32" s="7" t="n"/>
      <c r="AI32" s="7" t="n"/>
      <c r="AJ32" s="8" t="inlineStr">
        <is>
          <t>flight/pax</t>
        </is>
      </c>
      <c r="AK32" s="72" t="n"/>
      <c r="AL32" s="75" t="n"/>
      <c r="AM32" s="74">
        <f>U32*V32</f>
        <v/>
      </c>
      <c r="AN32" s="1" t="inlineStr">
        <is>
          <t>EUR</t>
        </is>
      </c>
      <c r="AP32" s="7" t="n"/>
      <c r="AQ32" s="7" t="n"/>
      <c r="AR32" s="8" t="inlineStr">
        <is>
          <t>flight/pax</t>
        </is>
      </c>
      <c r="AS32" s="72" t="n"/>
      <c r="AT32" s="75" t="n"/>
      <c r="AU32" s="74">
        <f>U32*V32</f>
        <v/>
      </c>
      <c r="AV32" s="1" t="inlineStr">
        <is>
          <t>EUR</t>
        </is>
      </c>
      <c r="AX32" s="7" t="n"/>
      <c r="AY32" s="7" t="n"/>
      <c r="AZ32" s="8" t="inlineStr">
        <is>
          <t>flight/pax</t>
        </is>
      </c>
      <c r="BA32" s="72" t="n"/>
      <c r="BB32" s="75" t="n"/>
      <c r="BC32" s="74">
        <f>U32*V32</f>
        <v/>
      </c>
      <c r="BD32" s="1" t="inlineStr">
        <is>
          <t>EUR</t>
        </is>
      </c>
      <c r="BF32" s="7" t="n"/>
      <c r="BG32" s="7" t="n"/>
      <c r="BH32" s="8" t="inlineStr">
        <is>
          <t>flight/pax</t>
        </is>
      </c>
      <c r="BI32" s="72" t="n"/>
      <c r="BJ32" s="75" t="n"/>
      <c r="BK32" s="74">
        <f>U32*V32</f>
        <v/>
      </c>
      <c r="BL32" s="1" t="inlineStr">
        <is>
          <t>EUR</t>
        </is>
      </c>
    </row>
    <row r="33">
      <c r="A33" s="6" t="n"/>
      <c r="B33" s="7" t="inlineStr">
        <is>
          <t>Ostalo</t>
        </is>
      </c>
      <c r="C33" s="7" t="n"/>
      <c r="D33" s="8" t="inlineStr">
        <is>
          <t>flight/pax</t>
        </is>
      </c>
      <c r="E33" s="9" t="n"/>
      <c r="F33" s="12" t="n"/>
      <c r="G33" s="10">
        <f>E33*F33</f>
        <v/>
      </c>
      <c r="H33" s="1" t="inlineStr">
        <is>
          <t>EUR</t>
        </is>
      </c>
      <c r="I33" s="6" t="n"/>
      <c r="J33" s="7" t="n"/>
      <c r="K33" s="7" t="n"/>
      <c r="L33" s="8" t="inlineStr">
        <is>
          <t>flight/pax</t>
        </is>
      </c>
      <c r="M33" s="9" t="n"/>
      <c r="N33" s="12" t="n"/>
      <c r="O33" s="10">
        <f>M33*N33</f>
        <v/>
      </c>
      <c r="P33" s="1" t="inlineStr">
        <is>
          <t>EUR</t>
        </is>
      </c>
      <c r="Q33" s="6" t="n"/>
      <c r="R33" s="7" t="n"/>
      <c r="S33" s="7" t="n"/>
      <c r="T33" s="8" t="inlineStr">
        <is>
          <t>flight/pax</t>
        </is>
      </c>
      <c r="U33" s="9" t="n"/>
      <c r="V33" s="12" t="n"/>
      <c r="W33" s="10">
        <f>U33*V33</f>
        <v/>
      </c>
      <c r="X33" s="1" t="inlineStr">
        <is>
          <t>EUR</t>
        </is>
      </c>
      <c r="Z33" s="7" t="n"/>
      <c r="AA33" s="7" t="n"/>
      <c r="AB33" s="8" t="inlineStr">
        <is>
          <t>flight/pax</t>
        </is>
      </c>
      <c r="AC33" s="72" t="n"/>
      <c r="AD33" s="75" t="n"/>
      <c r="AE33" s="74">
        <f>U33*V33</f>
        <v/>
      </c>
      <c r="AF33" s="1" t="inlineStr">
        <is>
          <t>EUR</t>
        </is>
      </c>
      <c r="AH33" s="7" t="n"/>
      <c r="AI33" s="7" t="n"/>
      <c r="AJ33" s="8" t="inlineStr">
        <is>
          <t>flight/pax</t>
        </is>
      </c>
      <c r="AK33" s="72" t="n"/>
      <c r="AL33" s="75" t="n"/>
      <c r="AM33" s="74">
        <f>U33*V33</f>
        <v/>
      </c>
      <c r="AN33" s="1" t="inlineStr">
        <is>
          <t>EUR</t>
        </is>
      </c>
      <c r="AP33" s="7" t="n"/>
      <c r="AQ33" s="7" t="n"/>
      <c r="AR33" s="8" t="inlineStr">
        <is>
          <t>flight/pax</t>
        </is>
      </c>
      <c r="AS33" s="72" t="n"/>
      <c r="AT33" s="75" t="n"/>
      <c r="AU33" s="74">
        <f>U33*V33</f>
        <v/>
      </c>
      <c r="AV33" s="1" t="inlineStr">
        <is>
          <t>EUR</t>
        </is>
      </c>
      <c r="AX33" s="7" t="n"/>
      <c r="AY33" s="7" t="n"/>
      <c r="AZ33" s="8" t="inlineStr">
        <is>
          <t>flight/pax</t>
        </is>
      </c>
      <c r="BA33" s="72" t="n"/>
      <c r="BB33" s="75" t="n"/>
      <c r="BC33" s="74">
        <f>U33*V33</f>
        <v/>
      </c>
      <c r="BD33" s="1" t="inlineStr">
        <is>
          <t>EUR</t>
        </is>
      </c>
      <c r="BF33" s="7" t="n"/>
      <c r="BG33" s="7" t="n"/>
      <c r="BH33" s="8" t="inlineStr">
        <is>
          <t>flight/pax</t>
        </is>
      </c>
      <c r="BI33" s="72" t="n"/>
      <c r="BJ33" s="75" t="n"/>
      <c r="BK33" s="74">
        <f>U33*V33</f>
        <v/>
      </c>
      <c r="BL33" s="1" t="inlineStr">
        <is>
          <t>EUR</t>
        </is>
      </c>
    </row>
    <row r="34">
      <c r="A34" s="6" t="n"/>
      <c r="B34" s="7" t="inlineStr">
        <is>
          <t>Ostalo</t>
        </is>
      </c>
      <c r="C34" s="7" t="n"/>
      <c r="D34" s="8" t="inlineStr">
        <is>
          <t>flight/pax</t>
        </is>
      </c>
      <c r="E34" s="9" t="n"/>
      <c r="F34" s="12" t="n"/>
      <c r="G34" s="10">
        <f>E34*F34</f>
        <v/>
      </c>
      <c r="H34" s="1" t="inlineStr">
        <is>
          <t>EUR</t>
        </is>
      </c>
      <c r="I34" s="6" t="n"/>
      <c r="J34" s="7" t="n"/>
      <c r="K34" s="7" t="n"/>
      <c r="L34" s="8" t="inlineStr">
        <is>
          <t>flight/pax</t>
        </is>
      </c>
      <c r="M34" s="9" t="n"/>
      <c r="N34" s="12" t="n"/>
      <c r="O34" s="10">
        <f>M34*N34</f>
        <v/>
      </c>
      <c r="P34" s="1" t="inlineStr">
        <is>
          <t>EUR</t>
        </is>
      </c>
      <c r="Q34" s="6" t="n"/>
      <c r="R34" s="7" t="n"/>
      <c r="S34" s="7" t="n"/>
      <c r="T34" s="8" t="inlineStr">
        <is>
          <t>flight/pax</t>
        </is>
      </c>
      <c r="U34" s="9" t="n"/>
      <c r="V34" s="12" t="n"/>
      <c r="W34" s="10">
        <f>U34*V34</f>
        <v/>
      </c>
      <c r="X34" s="1" t="inlineStr">
        <is>
          <t>EUR</t>
        </is>
      </c>
      <c r="Z34" s="7" t="n"/>
      <c r="AA34" s="7" t="n"/>
      <c r="AB34" s="8" t="inlineStr">
        <is>
          <t>flight/pax</t>
        </is>
      </c>
      <c r="AC34" s="72" t="n"/>
      <c r="AD34" s="75" t="n"/>
      <c r="AE34" s="74">
        <f>U34*V34</f>
        <v/>
      </c>
      <c r="AF34" s="1" t="inlineStr">
        <is>
          <t>EUR</t>
        </is>
      </c>
      <c r="AH34" s="7" t="n"/>
      <c r="AI34" s="7" t="n"/>
      <c r="AJ34" s="8" t="inlineStr">
        <is>
          <t>flight/pax</t>
        </is>
      </c>
      <c r="AK34" s="72" t="n"/>
      <c r="AL34" s="75" t="n"/>
      <c r="AM34" s="74">
        <f>U34*V34</f>
        <v/>
      </c>
      <c r="AN34" s="1" t="inlineStr">
        <is>
          <t>EUR</t>
        </is>
      </c>
      <c r="AP34" s="7" t="n"/>
      <c r="AQ34" s="7" t="n"/>
      <c r="AR34" s="8" t="inlineStr">
        <is>
          <t>flight/pax</t>
        </is>
      </c>
      <c r="AS34" s="72" t="n"/>
      <c r="AT34" s="75" t="n"/>
      <c r="AU34" s="74">
        <f>U34*V34</f>
        <v/>
      </c>
      <c r="AV34" s="1" t="inlineStr">
        <is>
          <t>EUR</t>
        </is>
      </c>
      <c r="AX34" s="7" t="n"/>
      <c r="AY34" s="7" t="n"/>
      <c r="AZ34" s="8" t="inlineStr">
        <is>
          <t>flight/pax</t>
        </is>
      </c>
      <c r="BA34" s="72" t="n"/>
      <c r="BB34" s="75" t="n"/>
      <c r="BC34" s="74">
        <f>U34*V34</f>
        <v/>
      </c>
      <c r="BD34" s="1" t="inlineStr">
        <is>
          <t>EUR</t>
        </is>
      </c>
      <c r="BF34" s="7" t="n"/>
      <c r="BG34" s="7" t="n"/>
      <c r="BH34" s="8" t="inlineStr">
        <is>
          <t>flight/pax</t>
        </is>
      </c>
      <c r="BI34" s="72" t="n"/>
      <c r="BJ34" s="75" t="n"/>
      <c r="BK34" s="74">
        <f>U34*V34</f>
        <v/>
      </c>
      <c r="BL34" s="1" t="inlineStr">
        <is>
          <t>EUR</t>
        </is>
      </c>
    </row>
    <row r="35">
      <c r="A35" s="6" t="n"/>
      <c r="B35" s="7" t="inlineStr">
        <is>
          <t>Ostalo</t>
        </is>
      </c>
      <c r="C35" s="7" t="n"/>
      <c r="D35" s="8" t="inlineStr">
        <is>
          <t>flight/pax</t>
        </is>
      </c>
      <c r="E35" s="9" t="n"/>
      <c r="F35" s="12" t="n"/>
      <c r="G35" s="10">
        <f>E35*F35</f>
        <v/>
      </c>
      <c r="H35" s="1" t="inlineStr">
        <is>
          <t>EUR</t>
        </is>
      </c>
      <c r="I35" s="6" t="n"/>
      <c r="J35" s="7" t="n"/>
      <c r="K35" s="7" t="n"/>
      <c r="L35" s="8" t="inlineStr">
        <is>
          <t>flight/pax</t>
        </is>
      </c>
      <c r="M35" s="9" t="n"/>
      <c r="N35" s="12" t="n"/>
      <c r="O35" s="10">
        <f>M35*N35</f>
        <v/>
      </c>
      <c r="P35" s="1" t="inlineStr">
        <is>
          <t>EUR</t>
        </is>
      </c>
      <c r="Q35" s="6" t="n"/>
      <c r="R35" s="7" t="n"/>
      <c r="S35" s="7" t="n"/>
      <c r="T35" s="8" t="inlineStr">
        <is>
          <t>flight/pax</t>
        </is>
      </c>
      <c r="U35" s="9" t="n"/>
      <c r="V35" s="12" t="n"/>
      <c r="W35" s="10">
        <f>U35*V35</f>
        <v/>
      </c>
      <c r="X35" s="1" t="inlineStr">
        <is>
          <t>EUR</t>
        </is>
      </c>
      <c r="Z35" s="7" t="n"/>
      <c r="AA35" s="7" t="n"/>
      <c r="AB35" s="8" t="inlineStr">
        <is>
          <t>flight/pax</t>
        </is>
      </c>
      <c r="AC35" s="72" t="n"/>
      <c r="AD35" s="75" t="n"/>
      <c r="AE35" s="74">
        <f>U35*V35</f>
        <v/>
      </c>
      <c r="AF35" s="1" t="inlineStr">
        <is>
          <t>EUR</t>
        </is>
      </c>
      <c r="AH35" s="7" t="n"/>
      <c r="AI35" s="7" t="n"/>
      <c r="AJ35" s="8" t="inlineStr">
        <is>
          <t>flight/pax</t>
        </is>
      </c>
      <c r="AK35" s="72" t="n"/>
      <c r="AL35" s="75" t="n"/>
      <c r="AM35" s="74">
        <f>U35*V35</f>
        <v/>
      </c>
      <c r="AN35" s="1" t="inlineStr">
        <is>
          <t>EUR</t>
        </is>
      </c>
      <c r="AP35" s="7" t="n"/>
      <c r="AQ35" s="7" t="n"/>
      <c r="AR35" s="8" t="inlineStr">
        <is>
          <t>flight/pax</t>
        </is>
      </c>
      <c r="AS35" s="72" t="n"/>
      <c r="AT35" s="75" t="n"/>
      <c r="AU35" s="74">
        <f>U35*V35</f>
        <v/>
      </c>
      <c r="AV35" s="1" t="inlineStr">
        <is>
          <t>EUR</t>
        </is>
      </c>
      <c r="AX35" s="7" t="n"/>
      <c r="AY35" s="7" t="n"/>
      <c r="AZ35" s="8" t="inlineStr">
        <is>
          <t>flight/pax</t>
        </is>
      </c>
      <c r="BA35" s="72" t="n"/>
      <c r="BB35" s="75" t="n"/>
      <c r="BC35" s="74">
        <f>U35*V35</f>
        <v/>
      </c>
      <c r="BD35" s="1" t="inlineStr">
        <is>
          <t>EUR</t>
        </is>
      </c>
      <c r="BF35" s="7" t="n"/>
      <c r="BG35" s="7" t="n"/>
      <c r="BH35" s="8" t="inlineStr">
        <is>
          <t>flight/pax</t>
        </is>
      </c>
      <c r="BI35" s="72" t="n"/>
      <c r="BJ35" s="75" t="n"/>
      <c r="BK35" s="74">
        <f>U35*V35</f>
        <v/>
      </c>
      <c r="BL35" s="1" t="inlineStr">
        <is>
          <t>EUR</t>
        </is>
      </c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Z36" s="6" t="n"/>
      <c r="AA36" s="6" t="n"/>
      <c r="AB36" s="6" t="n"/>
      <c r="AC36" s="6" t="n"/>
      <c r="AD36" s="6" t="n"/>
      <c r="AE36" s="6" t="n"/>
      <c r="AF36" s="6" t="n"/>
      <c r="AH36" s="6" t="n"/>
      <c r="AI36" s="6" t="n"/>
      <c r="AJ36" s="6" t="n"/>
      <c r="AK36" s="6" t="n"/>
      <c r="AL36" s="6" t="n"/>
      <c r="AM36" s="6" t="n"/>
      <c r="AN36" s="6" t="n"/>
      <c r="AP36" s="6" t="n"/>
      <c r="AQ36" s="6" t="n"/>
      <c r="AR36" s="6" t="n"/>
      <c r="AS36" s="6" t="n"/>
      <c r="AT36" s="6" t="n"/>
      <c r="AU36" s="6" t="n"/>
      <c r="AV36" s="6" t="n"/>
      <c r="AX36" s="6" t="n"/>
      <c r="AY36" s="6" t="n"/>
      <c r="AZ36" s="6" t="n"/>
      <c r="BA36" s="6" t="n"/>
      <c r="BB36" s="6" t="n"/>
      <c r="BC36" s="6" t="n"/>
      <c r="BD36" s="6" t="n"/>
      <c r="BF36" s="6" t="n"/>
      <c r="BG36" s="6" t="n"/>
      <c r="BH36" s="6" t="n"/>
      <c r="BI36" s="6" t="n"/>
      <c r="BJ36" s="6" t="n"/>
      <c r="BK36" s="6" t="n"/>
      <c r="BL36" s="6" t="n"/>
    </row>
    <row r="37">
      <c r="A37" s="6" t="n"/>
      <c r="B37" s="77" t="inlineStr">
        <is>
          <t xml:space="preserve">Total Wizz air other services /in "SKY SPEED"/ </t>
        </is>
      </c>
      <c r="C37" s="63" t="n"/>
      <c r="D37" s="63" t="n"/>
      <c r="E37" s="64" t="n"/>
      <c r="F37" s="32">
        <f>SUM(G5:G35)</f>
        <v/>
      </c>
      <c r="G37" s="64" t="n"/>
      <c r="H37" s="18" t="inlineStr">
        <is>
          <t>EUR</t>
        </is>
      </c>
      <c r="I37" s="6" t="n"/>
      <c r="J37" s="77" t="inlineStr">
        <is>
          <t xml:space="preserve">Total RyanAir other services /in "SKY SPEED"/ </t>
        </is>
      </c>
      <c r="K37" s="63" t="n"/>
      <c r="L37" s="63" t="n"/>
      <c r="M37" s="64" t="n"/>
      <c r="N37" s="32">
        <f>SUM(O5:O35)</f>
        <v/>
      </c>
      <c r="O37" s="64" t="n"/>
      <c r="P37" s="18" t="inlineStr">
        <is>
          <t>EUR</t>
        </is>
      </c>
      <c r="Q37" s="6" t="n"/>
      <c r="R37" s="77" t="inlineStr">
        <is>
          <t xml:space="preserve">Total RyanAir other services /in "SKY SPEED"/ </t>
        </is>
      </c>
      <c r="S37" s="63" t="n"/>
      <c r="T37" s="63" t="n"/>
      <c r="U37" s="64" t="n"/>
      <c r="V37" s="32">
        <f>SUM(W5:W35)</f>
        <v/>
      </c>
      <c r="W37" s="64" t="n"/>
      <c r="X37" s="18" t="inlineStr">
        <is>
          <t>EUR</t>
        </is>
      </c>
      <c r="Z37" s="77" t="inlineStr">
        <is>
          <t xml:space="preserve">Total RyanAir other services /in "SKY SPEED"/ </t>
        </is>
      </c>
      <c r="AA37" s="63" t="n"/>
      <c r="AB37" s="63" t="n"/>
      <c r="AC37" s="64" t="n"/>
      <c r="AD37" s="32">
        <f>SUM(W5:W35)</f>
        <v/>
      </c>
      <c r="AE37" s="64" t="n"/>
      <c r="AF37" s="18" t="inlineStr">
        <is>
          <t>EUR</t>
        </is>
      </c>
      <c r="AH37" s="77" t="inlineStr">
        <is>
          <t xml:space="preserve">Total RyanAir other services /in "SKY SPEED"/ </t>
        </is>
      </c>
      <c r="AI37" s="63" t="n"/>
      <c r="AJ37" s="63" t="n"/>
      <c r="AK37" s="64" t="n"/>
      <c r="AL37" s="32">
        <f>SUM(W5:W35)</f>
        <v/>
      </c>
      <c r="AM37" s="64" t="n"/>
      <c r="AN37" s="18" t="inlineStr">
        <is>
          <t>EUR</t>
        </is>
      </c>
      <c r="AP37" s="77" t="inlineStr">
        <is>
          <t xml:space="preserve">Total RyanAir other services /in "SKY SPEED"/ </t>
        </is>
      </c>
      <c r="AQ37" s="63" t="n"/>
      <c r="AR37" s="63" t="n"/>
      <c r="AS37" s="64" t="n"/>
      <c r="AT37" s="32">
        <f>SUM(W5:W35)</f>
        <v/>
      </c>
      <c r="AU37" s="64" t="n"/>
      <c r="AV37" s="18" t="inlineStr">
        <is>
          <t>EUR</t>
        </is>
      </c>
      <c r="AX37" s="77" t="inlineStr">
        <is>
          <t xml:space="preserve">Total RyanAir other services /in "SKY SPEED"/ </t>
        </is>
      </c>
      <c r="AY37" s="63" t="n"/>
      <c r="AZ37" s="63" t="n"/>
      <c r="BA37" s="64" t="n"/>
      <c r="BB37" s="32">
        <f>SUM(W5:W35)</f>
        <v/>
      </c>
      <c r="BC37" s="64" t="n"/>
      <c r="BD37" s="18" t="inlineStr">
        <is>
          <t>EUR</t>
        </is>
      </c>
      <c r="BF37" s="77" t="inlineStr">
        <is>
          <t xml:space="preserve">Total RyanAir other services /in "SKY SPEED"/ </t>
        </is>
      </c>
      <c r="BG37" s="63" t="n"/>
      <c r="BH37" s="63" t="n"/>
      <c r="BI37" s="64" t="n"/>
      <c r="BJ37" s="32">
        <f>SUM(W5:W35)</f>
        <v/>
      </c>
      <c r="BK37" s="64" t="n"/>
      <c r="BL37" s="18" t="inlineStr">
        <is>
          <t>EUR</t>
        </is>
      </c>
    </row>
    <row r="38">
      <c r="A38" s="6" t="n"/>
      <c r="B38" s="77" t="inlineStr">
        <is>
          <t>Airport remunerations (dodatni aerodromski servis)</t>
        </is>
      </c>
      <c r="C38" s="63" t="n"/>
      <c r="D38" s="63" t="n"/>
      <c r="E38" s="64" t="n"/>
      <c r="F38" s="34">
        <f>SUM(F5:F35)*10</f>
        <v/>
      </c>
      <c r="G38" s="64" t="n"/>
      <c r="H38" s="18" t="inlineStr">
        <is>
          <t>KM</t>
        </is>
      </c>
      <c r="I38" s="6" t="n"/>
      <c r="J38" s="77" t="inlineStr">
        <is>
          <t>Airport remunerations (dodatni aerodromski servis)</t>
        </is>
      </c>
      <c r="K38" s="63" t="n"/>
      <c r="L38" s="63" t="n"/>
      <c r="M38" s="64" t="n"/>
      <c r="N38" s="34">
        <f>SUM(N5:N35)*10</f>
        <v/>
      </c>
      <c r="O38" s="64" t="n"/>
      <c r="P38" s="18" t="inlineStr">
        <is>
          <t>KM</t>
        </is>
      </c>
      <c r="Q38" s="6" t="n"/>
      <c r="R38" s="77" t="inlineStr">
        <is>
          <t>Airport remunerations (dodatni aerodromski servis)</t>
        </is>
      </c>
      <c r="S38" s="63" t="n"/>
      <c r="T38" s="63" t="n"/>
      <c r="U38" s="64" t="n"/>
      <c r="V38" s="34">
        <f>SUM(V5:V35)*10</f>
        <v/>
      </c>
      <c r="W38" s="64" t="n"/>
      <c r="X38" s="18" t="inlineStr">
        <is>
          <t>KM</t>
        </is>
      </c>
      <c r="Z38" s="77" t="inlineStr">
        <is>
          <t>Airport remunerations (dodatni aerodromski servis)</t>
        </is>
      </c>
      <c r="AA38" s="63" t="n"/>
      <c r="AB38" s="63" t="n"/>
      <c r="AC38" s="64" t="n"/>
      <c r="AD38" s="34">
        <f>SUM(V5:V35)*10</f>
        <v/>
      </c>
      <c r="AE38" s="64" t="n"/>
      <c r="AF38" s="18" t="inlineStr">
        <is>
          <t>KM</t>
        </is>
      </c>
      <c r="AH38" s="77" t="inlineStr">
        <is>
          <t>Airport remunerations (dodatni aerodromski servis)</t>
        </is>
      </c>
      <c r="AI38" s="63" t="n"/>
      <c r="AJ38" s="63" t="n"/>
      <c r="AK38" s="64" t="n"/>
      <c r="AL38" s="34">
        <f>SUM(V5:V35)*10</f>
        <v/>
      </c>
      <c r="AM38" s="64" t="n"/>
      <c r="AN38" s="18" t="inlineStr">
        <is>
          <t>KM</t>
        </is>
      </c>
      <c r="AP38" s="77" t="inlineStr">
        <is>
          <t>Airport remunerations (dodatni aerodromski servis)</t>
        </is>
      </c>
      <c r="AQ38" s="63" t="n"/>
      <c r="AR38" s="63" t="n"/>
      <c r="AS38" s="64" t="n"/>
      <c r="AT38" s="34">
        <f>SUM(V5:V35)*10</f>
        <v/>
      </c>
      <c r="AU38" s="64" t="n"/>
      <c r="AV38" s="18" t="inlineStr">
        <is>
          <t>KM</t>
        </is>
      </c>
      <c r="AX38" s="77" t="inlineStr">
        <is>
          <t>Airport remunerations (dodatni aerodromski servis)</t>
        </is>
      </c>
      <c r="AY38" s="63" t="n"/>
      <c r="AZ38" s="63" t="n"/>
      <c r="BA38" s="64" t="n"/>
      <c r="BB38" s="34">
        <f>SUM(V5:V35)*10</f>
        <v/>
      </c>
      <c r="BC38" s="64" t="n"/>
      <c r="BD38" s="18" t="inlineStr">
        <is>
          <t>KM</t>
        </is>
      </c>
      <c r="BF38" s="77" t="inlineStr">
        <is>
          <t>Airport remunerations (dodatni aerodromski servis)</t>
        </is>
      </c>
      <c r="BG38" s="63" t="n"/>
      <c r="BH38" s="63" t="n"/>
      <c r="BI38" s="64" t="n"/>
      <c r="BJ38" s="34">
        <f>SUM(V5:V35)*10</f>
        <v/>
      </c>
      <c r="BK38" s="64" t="n"/>
      <c r="BL38" s="18" t="inlineStr">
        <is>
          <t>KM</t>
        </is>
      </c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Z39" s="6" t="n"/>
      <c r="AA39" s="6" t="n"/>
      <c r="AB39" s="6" t="n"/>
      <c r="AC39" s="6" t="n"/>
      <c r="AD39" s="6" t="n"/>
      <c r="AE39" s="6" t="n"/>
      <c r="AF39" s="6" t="n"/>
      <c r="AH39" s="6" t="n"/>
      <c r="AI39" s="6" t="n"/>
      <c r="AJ39" s="6" t="n"/>
      <c r="AK39" s="6" t="n"/>
      <c r="AL39" s="6" t="n"/>
      <c r="AM39" s="6" t="n"/>
      <c r="AN39" s="6" t="n"/>
      <c r="AP39" s="6" t="n"/>
      <c r="AQ39" s="6" t="n"/>
      <c r="AR39" s="6" t="n"/>
      <c r="AS39" s="6" t="n"/>
      <c r="AT39" s="6" t="n"/>
      <c r="AU39" s="6" t="n"/>
      <c r="AV39" s="6" t="n"/>
      <c r="AX39" s="6" t="n"/>
      <c r="AY39" s="6" t="n"/>
      <c r="AZ39" s="6" t="n"/>
      <c r="BA39" s="6" t="n"/>
      <c r="BB39" s="6" t="n"/>
      <c r="BC39" s="6" t="n"/>
      <c r="BD39" s="6" t="n"/>
      <c r="BF39" s="6" t="n"/>
      <c r="BG39" s="6" t="n"/>
      <c r="BH39" s="6" t="n"/>
      <c r="BI39" s="6" t="n"/>
      <c r="BJ39" s="6" t="n"/>
      <c r="BK39" s="6" t="n"/>
      <c r="BL39" s="6" t="n"/>
    </row>
    <row r="40" ht="32.1" customHeight="1">
      <c r="A40" s="6" t="n"/>
      <c r="B40" s="78" t="inlineStr">
        <is>
          <t>2. BOOKINGS FOR WIZZ AIR FLIGHTS SOLD TO THE PAX AT AIRPORT</t>
        </is>
      </c>
      <c r="C40" s="63" t="n"/>
      <c r="D40" s="64" t="n"/>
      <c r="E40" s="6" t="n"/>
      <c r="F40" s="6" t="n"/>
      <c r="G40" s="6" t="n"/>
      <c r="H40" s="6" t="n"/>
      <c r="I40" s="6" t="n"/>
      <c r="J40" s="78" t="inlineStr">
        <is>
          <t>2. BOOKINGS FOR PEGASUS FLIGHTS SOLD TO THE PAX AT AIRPORT</t>
        </is>
      </c>
      <c r="K40" s="63" t="n"/>
      <c r="L40" s="64" t="n"/>
      <c r="M40" s="6" t="n"/>
      <c r="N40" s="6" t="n"/>
      <c r="O40" s="6" t="n"/>
      <c r="P40" s="6" t="n"/>
      <c r="Q40" s="6" t="n"/>
      <c r="R40" s="78" t="inlineStr">
        <is>
          <t>2. BOOKINGS FOR Ajet FLIGHTS SOLD TO THE PAX AT AIRPORT</t>
        </is>
      </c>
      <c r="S40" s="63" t="n"/>
      <c r="T40" s="64" t="n"/>
      <c r="U40" s="6" t="n"/>
      <c r="V40" s="6" t="n"/>
      <c r="W40" s="6" t="n"/>
      <c r="X40" s="6" t="n"/>
      <c r="Z40" s="78" t="inlineStr">
        <is>
          <t>2. BOOKINGS FOR Ajet FLIGHTS SOLD TO THE PAX AT AIRPORT</t>
        </is>
      </c>
      <c r="AA40" s="63" t="n"/>
      <c r="AB40" s="64" t="n"/>
      <c r="AC40" s="6" t="n"/>
      <c r="AD40" s="6" t="n"/>
      <c r="AE40" s="6" t="n"/>
      <c r="AF40" s="6" t="n"/>
      <c r="AH40" s="78" t="inlineStr">
        <is>
          <t>2. BOOKINGS FOR Ajet FLIGHTS SOLD TO THE PAX AT AIRPORT</t>
        </is>
      </c>
      <c r="AI40" s="63" t="n"/>
      <c r="AJ40" s="64" t="n"/>
      <c r="AK40" s="6" t="n"/>
      <c r="AL40" s="6" t="n"/>
      <c r="AM40" s="6" t="n"/>
      <c r="AN40" s="6" t="n"/>
      <c r="AP40" s="78" t="inlineStr">
        <is>
          <t>2. BOOKINGS FOR Ajet FLIGHTS SOLD TO THE PAX AT AIRPORT</t>
        </is>
      </c>
      <c r="AQ40" s="63" t="n"/>
      <c r="AR40" s="64" t="n"/>
      <c r="AS40" s="6" t="n"/>
      <c r="AT40" s="6" t="n"/>
      <c r="AU40" s="6" t="n"/>
      <c r="AV40" s="6" t="n"/>
      <c r="AX40" s="78" t="inlineStr">
        <is>
          <t>2. BOOKINGS FOR Ajet FLIGHTS SOLD TO THE PAX AT AIRPORT</t>
        </is>
      </c>
      <c r="AY40" s="63" t="n"/>
      <c r="AZ40" s="64" t="n"/>
      <c r="BA40" s="6" t="n"/>
      <c r="BB40" s="6" t="n"/>
      <c r="BC40" s="6" t="n"/>
      <c r="BD40" s="6" t="n"/>
      <c r="BF40" s="78" t="inlineStr">
        <is>
          <t>2. BOOKINGS FOR Ajet FLIGHTS SOLD TO THE PAX AT AIRPORT</t>
        </is>
      </c>
      <c r="BG40" s="63" t="n"/>
      <c r="BH40" s="64" t="n"/>
      <c r="BI40" s="6" t="n"/>
      <c r="BJ40" s="6" t="n"/>
      <c r="BK40" s="6" t="n"/>
      <c r="BL40" s="6" t="n"/>
    </row>
    <row r="41">
      <c r="A41" s="6" t="n"/>
      <c r="B41" s="4" t="inlineStr">
        <is>
          <t>Airport ticket</t>
        </is>
      </c>
      <c r="C41" s="63" t="n"/>
      <c r="D41" s="64" t="n"/>
      <c r="E41" s="6" t="n"/>
      <c r="F41" s="6" t="n"/>
      <c r="G41" s="6" t="n"/>
      <c r="H41" s="6" t="n"/>
      <c r="I41" s="6" t="n"/>
      <c r="J41" s="4" t="inlineStr">
        <is>
          <t>Airport ticket</t>
        </is>
      </c>
      <c r="K41" s="63" t="n"/>
      <c r="L41" s="64" t="n"/>
      <c r="M41" s="6" t="n"/>
      <c r="N41" s="6" t="n"/>
      <c r="O41" s="6" t="n"/>
      <c r="P41" s="6" t="n"/>
      <c r="Q41" s="6" t="n"/>
      <c r="R41" s="4" t="inlineStr">
        <is>
          <t>Airport ticket</t>
        </is>
      </c>
      <c r="S41" s="63" t="n"/>
      <c r="T41" s="64" t="n"/>
      <c r="U41" s="6" t="n"/>
      <c r="V41" s="6" t="n"/>
      <c r="W41" s="6" t="n"/>
      <c r="X41" s="6" t="n"/>
      <c r="Z41" s="4" t="inlineStr">
        <is>
          <t>Airport ticket</t>
        </is>
      </c>
      <c r="AA41" s="63" t="n"/>
      <c r="AB41" s="64" t="n"/>
      <c r="AC41" s="6" t="n"/>
      <c r="AD41" s="6" t="n"/>
      <c r="AE41" s="6" t="n"/>
      <c r="AF41" s="6" t="n"/>
      <c r="AH41" s="4" t="inlineStr">
        <is>
          <t>Airport ticket</t>
        </is>
      </c>
      <c r="AI41" s="63" t="n"/>
      <c r="AJ41" s="64" t="n"/>
      <c r="AK41" s="6" t="n"/>
      <c r="AL41" s="6" t="n"/>
      <c r="AM41" s="6" t="n"/>
      <c r="AN41" s="6" t="n"/>
      <c r="AP41" s="4" t="inlineStr">
        <is>
          <t>Airport ticket</t>
        </is>
      </c>
      <c r="AQ41" s="63" t="n"/>
      <c r="AR41" s="64" t="n"/>
      <c r="AS41" s="6" t="n"/>
      <c r="AT41" s="6" t="n"/>
      <c r="AU41" s="6" t="n"/>
      <c r="AV41" s="6" t="n"/>
      <c r="AX41" s="4" t="inlineStr">
        <is>
          <t>Airport ticket</t>
        </is>
      </c>
      <c r="AY41" s="63" t="n"/>
      <c r="AZ41" s="64" t="n"/>
      <c r="BA41" s="6" t="n"/>
      <c r="BB41" s="6" t="n"/>
      <c r="BC41" s="6" t="n"/>
      <c r="BD41" s="6" t="n"/>
      <c r="BF41" s="4" t="inlineStr">
        <is>
          <t>Airport ticket</t>
        </is>
      </c>
      <c r="BG41" s="63" t="n"/>
      <c r="BH41" s="64" t="n"/>
      <c r="BI41" s="6" t="n"/>
      <c r="BJ41" s="6" t="n"/>
      <c r="BK41" s="6" t="n"/>
      <c r="BL41" s="6" t="n"/>
    </row>
    <row r="42">
      <c r="A42" s="6" t="n"/>
      <c r="B42" s="4" t="inlineStr">
        <is>
          <t>Bookings Sold / AMOUNT</t>
        </is>
      </c>
      <c r="C42" s="5" t="inlineStr">
        <is>
          <t>PNR</t>
        </is>
      </c>
      <c r="D42" s="5" t="inlineStr">
        <is>
          <t>No:PAX</t>
        </is>
      </c>
      <c r="E42" s="6" t="n"/>
      <c r="F42" s="6" t="n"/>
      <c r="G42" s="6" t="n"/>
      <c r="H42" s="6" t="n"/>
      <c r="I42" s="6" t="n"/>
      <c r="J42" s="4" t="inlineStr">
        <is>
          <t>Bookings Sold / AMOUNT</t>
        </is>
      </c>
      <c r="K42" s="5" t="inlineStr">
        <is>
          <t>PNR</t>
        </is>
      </c>
      <c r="L42" s="5" t="inlineStr">
        <is>
          <t>No:PAX</t>
        </is>
      </c>
      <c r="M42" s="6" t="n"/>
      <c r="N42" s="6" t="n"/>
      <c r="O42" s="6" t="n"/>
      <c r="P42" s="6" t="n"/>
      <c r="Q42" s="6" t="n"/>
      <c r="R42" s="4" t="inlineStr">
        <is>
          <t>Bookings Sold / AMOUNT</t>
        </is>
      </c>
      <c r="S42" s="5" t="inlineStr">
        <is>
          <t>PNR</t>
        </is>
      </c>
      <c r="T42" s="5" t="inlineStr">
        <is>
          <t>No:PAX</t>
        </is>
      </c>
      <c r="U42" s="6" t="n"/>
      <c r="V42" s="6" t="n"/>
      <c r="W42" s="6" t="n"/>
      <c r="X42" s="6" t="n"/>
      <c r="Z42" s="4" t="inlineStr">
        <is>
          <t>Bookings Sold / AMOUNT</t>
        </is>
      </c>
      <c r="AA42" s="5" t="inlineStr">
        <is>
          <t>PNR</t>
        </is>
      </c>
      <c r="AB42" s="5" t="inlineStr">
        <is>
          <t>No:PAX</t>
        </is>
      </c>
      <c r="AC42" s="6" t="n"/>
      <c r="AD42" s="6" t="n"/>
      <c r="AE42" s="6" t="n"/>
      <c r="AF42" s="6" t="n"/>
      <c r="AH42" s="4" t="inlineStr">
        <is>
          <t>Bookings Sold / AMOUNT</t>
        </is>
      </c>
      <c r="AI42" s="5" t="inlineStr">
        <is>
          <t>PNR</t>
        </is>
      </c>
      <c r="AJ42" s="5" t="inlineStr">
        <is>
          <t>No:PAX</t>
        </is>
      </c>
      <c r="AK42" s="6" t="n"/>
      <c r="AL42" s="6" t="n"/>
      <c r="AM42" s="6" t="n"/>
      <c r="AN42" s="6" t="n"/>
      <c r="AP42" s="4" t="inlineStr">
        <is>
          <t>Bookings Sold / AMOUNT</t>
        </is>
      </c>
      <c r="AQ42" s="5" t="inlineStr">
        <is>
          <t>PNR</t>
        </is>
      </c>
      <c r="AR42" s="5" t="inlineStr">
        <is>
          <t>No:PAX</t>
        </is>
      </c>
      <c r="AS42" s="6" t="n"/>
      <c r="AT42" s="6" t="n"/>
      <c r="AU42" s="6" t="n"/>
      <c r="AV42" s="6" t="n"/>
      <c r="AX42" s="4" t="inlineStr">
        <is>
          <t>Bookings Sold / AMOUNT</t>
        </is>
      </c>
      <c r="AY42" s="5" t="inlineStr">
        <is>
          <t>PNR</t>
        </is>
      </c>
      <c r="AZ42" s="5" t="inlineStr">
        <is>
          <t>No:PAX</t>
        </is>
      </c>
      <c r="BA42" s="6" t="n"/>
      <c r="BB42" s="6" t="n"/>
      <c r="BC42" s="6" t="n"/>
      <c r="BD42" s="6" t="n"/>
      <c r="BF42" s="4" t="inlineStr">
        <is>
          <t>Bookings Sold / AMOUNT</t>
        </is>
      </c>
      <c r="BG42" s="5" t="inlineStr">
        <is>
          <t>PNR</t>
        </is>
      </c>
      <c r="BH42" s="5" t="inlineStr">
        <is>
          <t>No:PAX</t>
        </is>
      </c>
      <c r="BI42" s="6" t="n"/>
      <c r="BJ42" s="6" t="n"/>
      <c r="BK42" s="6" t="n"/>
      <c r="BL42" s="6" t="n"/>
    </row>
    <row r="43">
      <c r="A43" s="6" t="n"/>
      <c r="B43" s="14" t="n">
        <v>162.98</v>
      </c>
      <c r="C43" s="19" t="n"/>
      <c r="D43" s="15" t="n">
        <v>1</v>
      </c>
      <c r="E43" s="6" t="n"/>
      <c r="F43" s="6" t="n"/>
      <c r="G43" s="6" t="n"/>
      <c r="H43" s="6" t="n"/>
      <c r="I43" s="6" t="n"/>
      <c r="J43" s="14" t="n"/>
      <c r="K43" s="14" t="n"/>
      <c r="L43" s="15" t="n"/>
      <c r="M43" s="6" t="n"/>
      <c r="N43" s="6" t="n"/>
      <c r="O43" s="6" t="n"/>
      <c r="P43" s="6" t="n"/>
      <c r="Q43" s="6" t="n"/>
      <c r="R43" s="14" t="n"/>
      <c r="S43" s="14" t="n"/>
      <c r="T43" s="15" t="n"/>
      <c r="U43" s="6" t="n"/>
      <c r="V43" s="6" t="n"/>
      <c r="W43" s="6" t="n"/>
      <c r="X43" s="6" t="n"/>
      <c r="Z43" s="14" t="n"/>
      <c r="AA43" s="14" t="n"/>
      <c r="AB43" s="15" t="n"/>
      <c r="AC43" s="6" t="n"/>
      <c r="AD43" s="6" t="n"/>
      <c r="AE43" s="6" t="n"/>
      <c r="AF43" s="6" t="n"/>
      <c r="AH43" s="14" t="n"/>
      <c r="AI43" s="14" t="n"/>
      <c r="AJ43" s="15" t="n"/>
      <c r="AK43" s="6" t="n"/>
      <c r="AL43" s="6" t="n"/>
      <c r="AM43" s="6" t="n"/>
      <c r="AN43" s="6" t="n"/>
      <c r="AP43" s="14" t="n"/>
      <c r="AQ43" s="14" t="n"/>
      <c r="AR43" s="15" t="n"/>
      <c r="AS43" s="6" t="n"/>
      <c r="AT43" s="6" t="n"/>
      <c r="AU43" s="6" t="n"/>
      <c r="AV43" s="6" t="n"/>
      <c r="AX43" s="14" t="n"/>
      <c r="AY43" s="14" t="n"/>
      <c r="AZ43" s="15" t="n"/>
      <c r="BA43" s="6" t="n"/>
      <c r="BB43" s="6" t="n"/>
      <c r="BC43" s="6" t="n"/>
      <c r="BD43" s="6" t="n"/>
      <c r="BF43" s="14" t="n"/>
      <c r="BG43" s="14" t="n"/>
      <c r="BH43" s="15" t="n"/>
      <c r="BI43" s="6" t="n"/>
      <c r="BJ43" s="6" t="n"/>
      <c r="BK43" s="6" t="n"/>
      <c r="BL43" s="6" t="n"/>
    </row>
    <row r="44">
      <c r="A44" s="6" t="n"/>
      <c r="B44" s="19" t="n">
        <v>202.98</v>
      </c>
      <c r="C44" s="19" t="n"/>
      <c r="D44" s="15" t="n">
        <v>1</v>
      </c>
      <c r="E44" s="6" t="n"/>
      <c r="F44" s="6" t="n"/>
      <c r="G44" s="6" t="n"/>
      <c r="H44" s="6" t="n"/>
      <c r="I44" s="6" t="n"/>
      <c r="J44" s="27" t="n"/>
      <c r="K44" s="19" t="n"/>
      <c r="L44" s="15" t="n"/>
      <c r="M44" s="6" t="n"/>
      <c r="N44" s="6" t="n"/>
      <c r="O44" s="6" t="n"/>
      <c r="P44" s="6" t="n"/>
      <c r="Q44" s="6" t="n"/>
      <c r="R44" s="27" t="n"/>
      <c r="S44" s="19" t="n"/>
      <c r="T44" s="15" t="n"/>
      <c r="U44" s="6" t="n"/>
      <c r="V44" s="6" t="n"/>
      <c r="W44" s="6" t="n"/>
      <c r="X44" s="6" t="n"/>
      <c r="Z44" s="27" t="n"/>
      <c r="AA44" s="19" t="n"/>
      <c r="AB44" s="15" t="n"/>
      <c r="AC44" s="6" t="n"/>
      <c r="AD44" s="6" t="n"/>
      <c r="AE44" s="6" t="n"/>
      <c r="AF44" s="6" t="n"/>
      <c r="AH44" s="27" t="n"/>
      <c r="AI44" s="19" t="n"/>
      <c r="AJ44" s="15" t="n"/>
      <c r="AK44" s="6" t="n"/>
      <c r="AL44" s="6" t="n"/>
      <c r="AM44" s="6" t="n"/>
      <c r="AN44" s="6" t="n"/>
      <c r="AP44" s="27" t="n"/>
      <c r="AQ44" s="19" t="n"/>
      <c r="AR44" s="15" t="n"/>
      <c r="AS44" s="6" t="n"/>
      <c r="AT44" s="6" t="n"/>
      <c r="AU44" s="6" t="n"/>
      <c r="AV44" s="6" t="n"/>
      <c r="AX44" s="27" t="n"/>
      <c r="AY44" s="19" t="n"/>
      <c r="AZ44" s="15" t="n"/>
      <c r="BA44" s="6" t="n"/>
      <c r="BB44" s="6" t="n"/>
      <c r="BC44" s="6" t="n"/>
      <c r="BD44" s="6" t="n"/>
      <c r="BF44" s="27" t="n"/>
      <c r="BG44" s="19" t="n"/>
      <c r="BH44" s="15" t="n"/>
      <c r="BI44" s="6" t="n"/>
      <c r="BJ44" s="6" t="n"/>
      <c r="BK44" s="6" t="n"/>
      <c r="BL44" s="6" t="n"/>
    </row>
    <row r="45">
      <c r="A45" s="6" t="n"/>
      <c r="B45" s="14" t="n"/>
      <c r="C45" s="14" t="n"/>
      <c r="D45" s="15" t="n"/>
      <c r="E45" s="6" t="n"/>
      <c r="F45" s="6" t="n"/>
      <c r="G45" s="6" t="n"/>
      <c r="H45" s="6" t="n"/>
      <c r="I45" s="6" t="n"/>
      <c r="J45" s="14" t="n"/>
      <c r="K45" s="14" t="n"/>
      <c r="L45" s="15" t="n"/>
      <c r="M45" s="6" t="n"/>
      <c r="N45" s="6" t="n"/>
      <c r="O45" s="6" t="n"/>
      <c r="P45" s="6" t="n"/>
      <c r="Q45" s="6" t="n"/>
      <c r="R45" s="14" t="n"/>
      <c r="S45" s="14" t="n"/>
      <c r="T45" s="15" t="n"/>
      <c r="U45" s="6" t="n"/>
      <c r="V45" s="6" t="n"/>
      <c r="W45" s="6" t="n"/>
      <c r="X45" s="6" t="n"/>
      <c r="Z45" s="14" t="n"/>
      <c r="AA45" s="14" t="n"/>
      <c r="AB45" s="15" t="n"/>
      <c r="AC45" s="6" t="n"/>
      <c r="AD45" s="6" t="n"/>
      <c r="AE45" s="6" t="n"/>
      <c r="AF45" s="6" t="n"/>
      <c r="AH45" s="14" t="n"/>
      <c r="AI45" s="14" t="n"/>
      <c r="AJ45" s="15" t="n"/>
      <c r="AK45" s="6" t="n"/>
      <c r="AL45" s="6" t="n"/>
      <c r="AM45" s="6" t="n"/>
      <c r="AN45" s="6" t="n"/>
      <c r="AP45" s="14" t="n"/>
      <c r="AQ45" s="14" t="n"/>
      <c r="AR45" s="15" t="n"/>
      <c r="AS45" s="6" t="n"/>
      <c r="AT45" s="6" t="n"/>
      <c r="AU45" s="6" t="n"/>
      <c r="AV45" s="6" t="n"/>
      <c r="AX45" s="14" t="n"/>
      <c r="AY45" s="14" t="n"/>
      <c r="AZ45" s="15" t="n"/>
      <c r="BA45" s="6" t="n"/>
      <c r="BB45" s="6" t="n"/>
      <c r="BC45" s="6" t="n"/>
      <c r="BD45" s="6" t="n"/>
      <c r="BF45" s="14" t="n"/>
      <c r="BG45" s="14" t="n"/>
      <c r="BH45" s="15" t="n"/>
      <c r="BI45" s="6" t="n"/>
      <c r="BJ45" s="6" t="n"/>
      <c r="BK45" s="6" t="n"/>
      <c r="BL45" s="6" t="n"/>
    </row>
    <row r="46">
      <c r="A46" s="6" t="n"/>
      <c r="B46" s="14" t="n"/>
      <c r="C46" s="14" t="n"/>
      <c r="D46" s="15" t="n"/>
      <c r="E46" s="6" t="n"/>
      <c r="F46" s="6" t="n"/>
      <c r="G46" s="6" t="n"/>
      <c r="H46" s="6" t="n"/>
      <c r="I46" s="6" t="n"/>
      <c r="J46" s="14" t="n"/>
      <c r="K46" s="14" t="n"/>
      <c r="L46" s="15" t="n"/>
      <c r="M46" s="6" t="n"/>
      <c r="N46" s="6" t="n"/>
      <c r="O46" s="6" t="n"/>
      <c r="P46" s="6" t="n"/>
      <c r="Q46" s="6" t="n"/>
      <c r="R46" s="14" t="n"/>
      <c r="S46" s="14" t="n"/>
      <c r="T46" s="15" t="n"/>
      <c r="U46" s="6" t="n"/>
      <c r="V46" s="6" t="n"/>
      <c r="W46" s="6" t="n"/>
      <c r="X46" s="6" t="n"/>
      <c r="Z46" s="14" t="n"/>
      <c r="AA46" s="14" t="n"/>
      <c r="AB46" s="15" t="n"/>
      <c r="AC46" s="6" t="n"/>
      <c r="AD46" s="6" t="n"/>
      <c r="AE46" s="6" t="n"/>
      <c r="AF46" s="6" t="n"/>
      <c r="AH46" s="14" t="n"/>
      <c r="AI46" s="14" t="n"/>
      <c r="AJ46" s="15" t="n"/>
      <c r="AK46" s="6" t="n"/>
      <c r="AL46" s="6" t="n"/>
      <c r="AM46" s="6" t="n"/>
      <c r="AN46" s="6" t="n"/>
      <c r="AP46" s="14" t="n"/>
      <c r="AQ46" s="14" t="n"/>
      <c r="AR46" s="15" t="n"/>
      <c r="AS46" s="6" t="n"/>
      <c r="AT46" s="6" t="n"/>
      <c r="AU46" s="6" t="n"/>
      <c r="AV46" s="6" t="n"/>
      <c r="AX46" s="14" t="n"/>
      <c r="AY46" s="14" t="n"/>
      <c r="AZ46" s="15" t="n"/>
      <c r="BA46" s="6" t="n"/>
      <c r="BB46" s="6" t="n"/>
      <c r="BC46" s="6" t="n"/>
      <c r="BD46" s="6" t="n"/>
      <c r="BF46" s="14" t="n"/>
      <c r="BG46" s="14" t="n"/>
      <c r="BH46" s="15" t="n"/>
      <c r="BI46" s="6" t="n"/>
      <c r="BJ46" s="6" t="n"/>
      <c r="BK46" s="6" t="n"/>
      <c r="BL46" s="6" t="n"/>
    </row>
    <row r="47">
      <c r="A47" s="6" t="n"/>
      <c r="B47" s="14" t="n"/>
      <c r="C47" s="14" t="n"/>
      <c r="D47" s="15" t="n"/>
      <c r="E47" s="6" t="n"/>
      <c r="F47" s="6" t="inlineStr">
        <is>
          <t> </t>
        </is>
      </c>
      <c r="G47" s="6" t="n"/>
      <c r="H47" s="6" t="n"/>
      <c r="I47" s="6" t="n"/>
      <c r="J47" s="14" t="n"/>
      <c r="K47" s="14" t="n"/>
      <c r="L47" s="15" t="n"/>
      <c r="M47" s="6" t="n"/>
      <c r="N47" s="6" t="n"/>
      <c r="O47" s="6" t="n"/>
      <c r="P47" s="6" t="n"/>
      <c r="Q47" s="6" t="n"/>
      <c r="R47" s="14" t="n"/>
      <c r="S47" s="14" t="n"/>
      <c r="T47" s="15" t="n"/>
      <c r="U47" s="6" t="n"/>
      <c r="V47" s="6" t="n"/>
      <c r="W47" s="6" t="n"/>
      <c r="X47" s="6" t="n"/>
      <c r="Z47" s="14" t="n"/>
      <c r="AA47" s="14" t="n"/>
      <c r="AB47" s="15" t="n"/>
      <c r="AC47" s="6" t="n"/>
      <c r="AD47" s="6" t="n"/>
      <c r="AE47" s="6" t="n"/>
      <c r="AF47" s="6" t="n"/>
      <c r="AH47" s="14" t="n"/>
      <c r="AI47" s="14" t="n"/>
      <c r="AJ47" s="15" t="n"/>
      <c r="AK47" s="6" t="n"/>
      <c r="AL47" s="6" t="n"/>
      <c r="AM47" s="6" t="n"/>
      <c r="AN47" s="6" t="n"/>
      <c r="AP47" s="14" t="n"/>
      <c r="AQ47" s="14" t="n"/>
      <c r="AR47" s="15" t="n"/>
      <c r="AS47" s="6" t="n"/>
      <c r="AT47" s="6" t="n"/>
      <c r="AU47" s="6" t="n"/>
      <c r="AV47" s="6" t="n"/>
      <c r="AX47" s="14" t="n"/>
      <c r="AY47" s="14" t="n"/>
      <c r="AZ47" s="15" t="n"/>
      <c r="BA47" s="6" t="n"/>
      <c r="BB47" s="6" t="n"/>
      <c r="BC47" s="6" t="n"/>
      <c r="BD47" s="6" t="n"/>
      <c r="BF47" s="14" t="n"/>
      <c r="BG47" s="14" t="n"/>
      <c r="BH47" s="15" t="n"/>
      <c r="BI47" s="6" t="n"/>
      <c r="BJ47" s="6" t="n"/>
      <c r="BK47" s="6" t="n"/>
      <c r="BL47" s="6" t="n"/>
    </row>
    <row r="48">
      <c r="A48" s="6" t="n"/>
      <c r="B48" s="14" t="n"/>
      <c r="C48" s="14" t="n"/>
      <c r="D48" s="15" t="n"/>
      <c r="E48" s="6" t="n"/>
      <c r="F48" s="6" t="n"/>
      <c r="G48" s="6" t="n"/>
      <c r="H48" s="6" t="n"/>
      <c r="I48" s="6" t="n"/>
      <c r="J48" s="14" t="n"/>
      <c r="K48" s="14" t="n"/>
      <c r="L48" s="15" t="n"/>
      <c r="M48" s="6" t="n"/>
      <c r="N48" s="6" t="n"/>
      <c r="O48" s="6" t="n"/>
      <c r="P48" s="6" t="n"/>
      <c r="Q48" s="6" t="n"/>
      <c r="R48" s="14" t="n"/>
      <c r="S48" s="14" t="n"/>
      <c r="T48" s="15" t="n"/>
      <c r="U48" s="6" t="n"/>
      <c r="V48" s="6" t="n"/>
      <c r="W48" s="6" t="n"/>
      <c r="X48" s="6" t="n"/>
      <c r="Z48" s="14" t="n"/>
      <c r="AA48" s="14" t="n"/>
      <c r="AB48" s="15" t="n"/>
      <c r="AC48" s="6" t="n"/>
      <c r="AD48" s="6" t="n"/>
      <c r="AE48" s="6" t="n"/>
      <c r="AF48" s="6" t="n"/>
      <c r="AH48" s="14" t="n"/>
      <c r="AI48" s="14" t="n"/>
      <c r="AJ48" s="15" t="n"/>
      <c r="AK48" s="6" t="n"/>
      <c r="AL48" s="6" t="n"/>
      <c r="AM48" s="6" t="n"/>
      <c r="AN48" s="6" t="n"/>
      <c r="AP48" s="14" t="n"/>
      <c r="AQ48" s="14" t="n"/>
      <c r="AR48" s="15" t="n"/>
      <c r="AS48" s="6" t="n"/>
      <c r="AT48" s="6" t="n"/>
      <c r="AU48" s="6" t="n"/>
      <c r="AV48" s="6" t="n"/>
      <c r="AX48" s="14" t="n"/>
      <c r="AY48" s="14" t="n"/>
      <c r="AZ48" s="15" t="n"/>
      <c r="BA48" s="6" t="n"/>
      <c r="BB48" s="6" t="n"/>
      <c r="BC48" s="6" t="n"/>
      <c r="BD48" s="6" t="n"/>
      <c r="BF48" s="14" t="n"/>
      <c r="BG48" s="14" t="n"/>
      <c r="BH48" s="15" t="n"/>
      <c r="BI48" s="6" t="n"/>
      <c r="BJ48" s="6" t="n"/>
      <c r="BK48" s="6" t="n"/>
      <c r="BL48" s="6" t="n"/>
    </row>
    <row r="49">
      <c r="A49" s="6" t="n"/>
      <c r="B49" s="14" t="n"/>
      <c r="C49" s="14" t="n"/>
      <c r="D49" s="15" t="n"/>
      <c r="E49" s="6" t="n"/>
      <c r="F49" s="6" t="n"/>
      <c r="G49" s="6" t="n"/>
      <c r="H49" s="6" t="n"/>
      <c r="I49" s="6" t="n"/>
      <c r="J49" s="14" t="n"/>
      <c r="K49" s="14" t="n"/>
      <c r="L49" s="15" t="n"/>
      <c r="M49" s="6" t="n"/>
      <c r="N49" s="6" t="n"/>
      <c r="O49" s="6" t="n"/>
      <c r="P49" s="6" t="n"/>
      <c r="Q49" s="6" t="n"/>
      <c r="R49" s="14" t="n"/>
      <c r="S49" s="14" t="n"/>
      <c r="T49" s="15" t="n"/>
      <c r="U49" s="6" t="n"/>
      <c r="V49" s="6" t="n"/>
      <c r="W49" s="6" t="n"/>
      <c r="X49" s="6" t="n"/>
      <c r="Z49" s="14" t="n"/>
      <c r="AA49" s="14" t="n"/>
      <c r="AB49" s="15" t="n"/>
      <c r="AC49" s="6" t="n"/>
      <c r="AD49" s="6" t="n"/>
      <c r="AE49" s="6" t="n"/>
      <c r="AF49" s="6" t="n"/>
      <c r="AH49" s="14" t="n"/>
      <c r="AI49" s="14" t="n"/>
      <c r="AJ49" s="15" t="n"/>
      <c r="AK49" s="6" t="n"/>
      <c r="AL49" s="6" t="n"/>
      <c r="AM49" s="6" t="n"/>
      <c r="AN49" s="6" t="n"/>
      <c r="AP49" s="14" t="n"/>
      <c r="AQ49" s="14" t="n"/>
      <c r="AR49" s="15" t="n"/>
      <c r="AS49" s="6" t="n"/>
      <c r="AT49" s="6" t="n"/>
      <c r="AU49" s="6" t="n"/>
      <c r="AV49" s="6" t="n"/>
      <c r="AX49" s="14" t="n"/>
      <c r="AY49" s="14" t="n"/>
      <c r="AZ49" s="15" t="n"/>
      <c r="BA49" s="6" t="n"/>
      <c r="BB49" s="6" t="n"/>
      <c r="BC49" s="6" t="n"/>
      <c r="BD49" s="6" t="n"/>
      <c r="BF49" s="14" t="n"/>
      <c r="BG49" s="14" t="n"/>
      <c r="BH49" s="15" t="n"/>
      <c r="BI49" s="6" t="n"/>
      <c r="BJ49" s="6" t="n"/>
      <c r="BK49" s="6" t="n"/>
      <c r="BL49" s="6" t="n"/>
    </row>
    <row r="50">
      <c r="A50" s="6" t="n"/>
      <c r="B50" s="14" t="n"/>
      <c r="C50" s="14" t="n"/>
      <c r="D50" s="15" t="n"/>
      <c r="E50" s="6" t="inlineStr">
        <is>
          <t> </t>
        </is>
      </c>
      <c r="F50" s="6" t="n"/>
      <c r="G50" s="6" t="n"/>
      <c r="H50" s="6" t="n"/>
      <c r="I50" s="6" t="n"/>
      <c r="J50" s="14" t="n"/>
      <c r="K50" s="14" t="n"/>
      <c r="L50" s="15" t="n"/>
      <c r="M50" s="6" t="n"/>
      <c r="N50" s="6" t="n"/>
      <c r="O50" s="6" t="n"/>
      <c r="P50" s="6" t="n"/>
      <c r="Q50" s="6" t="n"/>
      <c r="R50" s="14" t="n"/>
      <c r="S50" s="14" t="n"/>
      <c r="T50" s="15" t="n"/>
      <c r="U50" s="6" t="n"/>
      <c r="V50" s="6" t="n"/>
      <c r="W50" s="6" t="n"/>
      <c r="X50" s="6" t="n"/>
      <c r="Z50" s="14" t="n"/>
      <c r="AA50" s="14" t="n"/>
      <c r="AB50" s="15" t="n"/>
      <c r="AC50" s="6" t="n"/>
      <c r="AD50" s="6" t="n"/>
      <c r="AE50" s="6" t="n"/>
      <c r="AF50" s="6" t="n"/>
      <c r="AH50" s="14" t="n"/>
      <c r="AI50" s="14" t="n"/>
      <c r="AJ50" s="15" t="n"/>
      <c r="AK50" s="6" t="n"/>
      <c r="AL50" s="6" t="n"/>
      <c r="AM50" s="6" t="n"/>
      <c r="AN50" s="6" t="n"/>
      <c r="AP50" s="14" t="n"/>
      <c r="AQ50" s="14" t="n"/>
      <c r="AR50" s="15" t="n"/>
      <c r="AS50" s="6" t="n"/>
      <c r="AT50" s="6" t="n"/>
      <c r="AU50" s="6" t="n"/>
      <c r="AV50" s="6" t="n"/>
      <c r="AX50" s="14" t="n"/>
      <c r="AY50" s="14" t="n"/>
      <c r="AZ50" s="15" t="n"/>
      <c r="BA50" s="6" t="n"/>
      <c r="BB50" s="6" t="n"/>
      <c r="BC50" s="6" t="n"/>
      <c r="BD50" s="6" t="n"/>
      <c r="BF50" s="14" t="n"/>
      <c r="BG50" s="14" t="n"/>
      <c r="BH50" s="15" t="n"/>
      <c r="BI50" s="6" t="n"/>
      <c r="BJ50" s="6" t="n"/>
      <c r="BK50" s="6" t="n"/>
      <c r="BL50" s="6" t="n"/>
    </row>
    <row r="51">
      <c r="A51" s="6" t="n"/>
      <c r="B51" s="14" t="n"/>
      <c r="C51" s="14" t="n"/>
      <c r="D51" s="15" t="n"/>
      <c r="E51" s="6" t="n"/>
      <c r="F51" s="6" t="n"/>
      <c r="G51" s="6" t="n"/>
      <c r="H51" s="6" t="n"/>
      <c r="I51" s="6" t="n"/>
      <c r="J51" s="14" t="n"/>
      <c r="K51" s="14" t="n"/>
      <c r="L51" s="15" t="n"/>
      <c r="M51" s="6" t="n"/>
      <c r="N51" s="6" t="n"/>
      <c r="O51" s="6" t="n"/>
      <c r="P51" s="6" t="n"/>
      <c r="Q51" s="6" t="n"/>
      <c r="R51" s="14" t="n"/>
      <c r="S51" s="14" t="n"/>
      <c r="T51" s="15" t="n"/>
      <c r="U51" s="6" t="n"/>
      <c r="V51" s="6" t="n"/>
      <c r="W51" s="6" t="n"/>
      <c r="X51" s="6" t="n"/>
      <c r="Z51" s="14" t="n"/>
      <c r="AA51" s="14" t="n"/>
      <c r="AB51" s="15" t="n"/>
      <c r="AC51" s="6" t="n"/>
      <c r="AD51" s="6" t="n"/>
      <c r="AE51" s="6" t="n"/>
      <c r="AF51" s="6" t="n"/>
      <c r="AH51" s="14" t="n"/>
      <c r="AI51" s="14" t="n"/>
      <c r="AJ51" s="15" t="n"/>
      <c r="AK51" s="6" t="n"/>
      <c r="AL51" s="6" t="n"/>
      <c r="AM51" s="6" t="n"/>
      <c r="AN51" s="6" t="n"/>
      <c r="AP51" s="14" t="n"/>
      <c r="AQ51" s="14" t="n"/>
      <c r="AR51" s="15" t="n"/>
      <c r="AS51" s="6" t="n"/>
      <c r="AT51" s="6" t="n"/>
      <c r="AU51" s="6" t="n"/>
      <c r="AV51" s="6" t="n"/>
      <c r="AX51" s="14" t="n"/>
      <c r="AY51" s="14" t="n"/>
      <c r="AZ51" s="15" t="n"/>
      <c r="BA51" s="6" t="n"/>
      <c r="BB51" s="6" t="n"/>
      <c r="BC51" s="6" t="n"/>
      <c r="BD51" s="6" t="n"/>
      <c r="BF51" s="14" t="n"/>
      <c r="BG51" s="14" t="n"/>
      <c r="BH51" s="15" t="n"/>
      <c r="BI51" s="6" t="n"/>
      <c r="BJ51" s="6" t="n"/>
      <c r="BK51" s="6" t="n"/>
      <c r="BL51" s="6" t="n"/>
    </row>
    <row r="52">
      <c r="A52" s="6" t="n"/>
      <c r="B52" s="14" t="n"/>
      <c r="C52" s="14" t="n"/>
      <c r="D52" s="15" t="n"/>
      <c r="E52" s="6" t="n"/>
      <c r="F52" s="6" t="n"/>
      <c r="G52" s="6" t="n"/>
      <c r="H52" s="6" t="n"/>
      <c r="I52" s="6" t="n"/>
      <c r="J52" s="14" t="n"/>
      <c r="K52" s="14" t="n"/>
      <c r="L52" s="15" t="n"/>
      <c r="M52" s="6" t="n"/>
      <c r="N52" s="6" t="n"/>
      <c r="O52" s="6" t="n"/>
      <c r="P52" s="6" t="n"/>
      <c r="Q52" s="6" t="n"/>
      <c r="R52" s="14" t="n"/>
      <c r="S52" s="14" t="n"/>
      <c r="T52" s="15" t="n"/>
      <c r="U52" s="6" t="n"/>
      <c r="V52" s="6" t="n"/>
      <c r="W52" s="6" t="n"/>
      <c r="X52" s="6" t="n"/>
      <c r="Z52" s="14" t="n"/>
      <c r="AA52" s="14" t="n"/>
      <c r="AB52" s="15" t="n"/>
      <c r="AC52" s="6" t="n"/>
      <c r="AD52" s="6" t="n"/>
      <c r="AE52" s="6" t="n"/>
      <c r="AF52" s="6" t="n"/>
      <c r="AH52" s="14" t="n"/>
      <c r="AI52" s="14" t="n"/>
      <c r="AJ52" s="15" t="n"/>
      <c r="AK52" s="6" t="n"/>
      <c r="AL52" s="6" t="n"/>
      <c r="AM52" s="6" t="n"/>
      <c r="AN52" s="6" t="n"/>
      <c r="AP52" s="14" t="n"/>
      <c r="AQ52" s="14" t="n"/>
      <c r="AR52" s="15" t="n"/>
      <c r="AS52" s="6" t="n"/>
      <c r="AT52" s="6" t="n"/>
      <c r="AU52" s="6" t="n"/>
      <c r="AV52" s="6" t="n"/>
      <c r="AX52" s="14" t="n"/>
      <c r="AY52" s="14" t="n"/>
      <c r="AZ52" s="15" t="n"/>
      <c r="BA52" s="6" t="n"/>
      <c r="BB52" s="6" t="n"/>
      <c r="BC52" s="6" t="n"/>
      <c r="BD52" s="6" t="n"/>
      <c r="BF52" s="14" t="n"/>
      <c r="BG52" s="14" t="n"/>
      <c r="BH52" s="15" t="n"/>
      <c r="BI52" s="6" t="n"/>
      <c r="BJ52" s="6" t="n"/>
      <c r="BK52" s="6" t="n"/>
      <c r="BL52" s="6" t="n"/>
    </row>
    <row r="53">
      <c r="A53" s="6" t="n"/>
      <c r="B53" s="14" t="n"/>
      <c r="C53" s="14" t="n"/>
      <c r="D53" s="15" t="n"/>
      <c r="E53" s="6" t="n"/>
      <c r="F53" s="6" t="n"/>
      <c r="G53" s="6" t="n"/>
      <c r="H53" s="6" t="n"/>
      <c r="I53" s="6" t="n"/>
      <c r="J53" s="14" t="n"/>
      <c r="K53" s="14" t="n"/>
      <c r="L53" s="15" t="n"/>
      <c r="M53" s="6" t="n"/>
      <c r="N53" s="6" t="n"/>
      <c r="O53" s="6" t="n"/>
      <c r="P53" s="6" t="n"/>
      <c r="Q53" s="6" t="n"/>
      <c r="R53" s="14" t="n"/>
      <c r="S53" s="14" t="n"/>
      <c r="T53" s="15" t="n"/>
      <c r="U53" s="6" t="n"/>
      <c r="V53" s="6" t="n"/>
      <c r="W53" s="6" t="n"/>
      <c r="X53" s="6" t="n"/>
      <c r="Z53" s="14" t="n"/>
      <c r="AA53" s="14" t="n"/>
      <c r="AB53" s="15" t="n"/>
      <c r="AC53" s="6" t="n"/>
      <c r="AD53" s="6" t="n"/>
      <c r="AE53" s="6" t="n"/>
      <c r="AF53" s="6" t="n"/>
      <c r="AH53" s="14" t="n"/>
      <c r="AI53" s="14" t="n"/>
      <c r="AJ53" s="15" t="n"/>
      <c r="AK53" s="6" t="n"/>
      <c r="AL53" s="6" t="n"/>
      <c r="AM53" s="6" t="n"/>
      <c r="AN53" s="6" t="n"/>
      <c r="AP53" s="14" t="n"/>
      <c r="AQ53" s="14" t="n"/>
      <c r="AR53" s="15" t="n"/>
      <c r="AS53" s="6" t="n"/>
      <c r="AT53" s="6" t="n"/>
      <c r="AU53" s="6" t="n"/>
      <c r="AV53" s="6" t="n"/>
      <c r="AX53" s="14" t="n"/>
      <c r="AY53" s="14" t="n"/>
      <c r="AZ53" s="15" t="n"/>
      <c r="BA53" s="6" t="n"/>
      <c r="BB53" s="6" t="n"/>
      <c r="BC53" s="6" t="n"/>
      <c r="BD53" s="6" t="n"/>
      <c r="BF53" s="14" t="n"/>
      <c r="BG53" s="14" t="n"/>
      <c r="BH53" s="15" t="n"/>
      <c r="BI53" s="6" t="n"/>
      <c r="BJ53" s="6" t="n"/>
      <c r="BK53" s="6" t="n"/>
      <c r="BL53" s="6" t="n"/>
    </row>
    <row r="54">
      <c r="A54" s="6" t="n"/>
      <c r="B54" s="14" t="n"/>
      <c r="C54" s="14" t="n"/>
      <c r="D54" s="15" t="n"/>
      <c r="E54" s="6" t="n"/>
      <c r="F54" s="6" t="n"/>
      <c r="G54" s="6" t="n"/>
      <c r="H54" s="6" t="n"/>
      <c r="I54" s="6" t="n"/>
      <c r="J54" s="14" t="n"/>
      <c r="K54" s="14" t="n"/>
      <c r="L54" s="15" t="n"/>
      <c r="M54" s="6" t="n"/>
      <c r="N54" s="6" t="n"/>
      <c r="O54" s="6" t="n"/>
      <c r="P54" s="6" t="n"/>
      <c r="Q54" s="6" t="n"/>
      <c r="R54" s="14" t="n"/>
      <c r="S54" s="14" t="n"/>
      <c r="T54" s="15" t="n"/>
      <c r="U54" s="6" t="n"/>
      <c r="V54" s="6" t="n"/>
      <c r="W54" s="6" t="n"/>
      <c r="X54" s="6" t="n"/>
      <c r="Z54" s="14" t="n"/>
      <c r="AA54" s="14" t="n"/>
      <c r="AB54" s="15" t="n"/>
      <c r="AC54" s="6" t="n"/>
      <c r="AD54" s="6" t="n"/>
      <c r="AE54" s="6" t="n"/>
      <c r="AF54" s="6" t="n"/>
      <c r="AH54" s="14" t="n"/>
      <c r="AI54" s="14" t="n"/>
      <c r="AJ54" s="15" t="n"/>
      <c r="AK54" s="6" t="n"/>
      <c r="AL54" s="6" t="n"/>
      <c r="AM54" s="6" t="n"/>
      <c r="AN54" s="6" t="n"/>
      <c r="AP54" s="14" t="n"/>
      <c r="AQ54" s="14" t="n"/>
      <c r="AR54" s="15" t="n"/>
      <c r="AS54" s="6" t="n"/>
      <c r="AT54" s="6" t="n"/>
      <c r="AU54" s="6" t="n"/>
      <c r="AV54" s="6" t="n"/>
      <c r="AX54" s="14" t="n"/>
      <c r="AY54" s="14" t="n"/>
      <c r="AZ54" s="15" t="n"/>
      <c r="BA54" s="6" t="n"/>
      <c r="BB54" s="6" t="n"/>
      <c r="BC54" s="6" t="n"/>
      <c r="BD54" s="6" t="n"/>
      <c r="BF54" s="14" t="n"/>
      <c r="BG54" s="14" t="n"/>
      <c r="BH54" s="15" t="n"/>
      <c r="BI54" s="6" t="n"/>
      <c r="BJ54" s="6" t="n"/>
      <c r="BK54" s="6" t="n"/>
      <c r="BL54" s="6" t="n"/>
    </row>
    <row r="55">
      <c r="A55" s="6" t="n"/>
      <c r="B55" s="14" t="n"/>
      <c r="C55" s="14" t="n"/>
      <c r="D55" s="15" t="n"/>
      <c r="E55" s="6" t="n"/>
      <c r="F55" s="6" t="n"/>
      <c r="G55" s="6" t="n"/>
      <c r="H55" s="6" t="n"/>
      <c r="I55" s="6" t="n"/>
      <c r="J55" s="14" t="n"/>
      <c r="K55" s="14" t="n"/>
      <c r="L55" s="15" t="n"/>
      <c r="M55" s="6" t="n"/>
      <c r="N55" s="6" t="n"/>
      <c r="O55" s="6" t="n"/>
      <c r="P55" s="6" t="n"/>
      <c r="Q55" s="6" t="n"/>
      <c r="R55" s="14" t="n"/>
      <c r="S55" s="14" t="n"/>
      <c r="T55" s="15" t="n"/>
      <c r="U55" s="6" t="n"/>
      <c r="V55" s="6" t="n"/>
      <c r="W55" s="6" t="n"/>
      <c r="X55" s="6" t="n"/>
      <c r="Z55" s="14" t="n"/>
      <c r="AA55" s="14" t="n"/>
      <c r="AB55" s="15" t="n"/>
      <c r="AC55" s="6" t="n"/>
      <c r="AD55" s="6" t="n"/>
      <c r="AE55" s="6" t="n"/>
      <c r="AF55" s="6" t="n"/>
      <c r="AH55" s="14" t="n"/>
      <c r="AI55" s="14" t="n"/>
      <c r="AJ55" s="15" t="n"/>
      <c r="AK55" s="6" t="n"/>
      <c r="AL55" s="6" t="n"/>
      <c r="AM55" s="6" t="n"/>
      <c r="AN55" s="6" t="n"/>
      <c r="AP55" s="14" t="n"/>
      <c r="AQ55" s="14" t="n"/>
      <c r="AR55" s="15" t="n"/>
      <c r="AS55" s="6" t="n"/>
      <c r="AT55" s="6" t="n"/>
      <c r="AU55" s="6" t="n"/>
      <c r="AV55" s="6" t="n"/>
      <c r="AX55" s="14" t="n"/>
      <c r="AY55" s="14" t="n"/>
      <c r="AZ55" s="15" t="n"/>
      <c r="BA55" s="6" t="n"/>
      <c r="BB55" s="6" t="n"/>
      <c r="BC55" s="6" t="n"/>
      <c r="BD55" s="6" t="n"/>
      <c r="BF55" s="14" t="n"/>
      <c r="BG55" s="14" t="n"/>
      <c r="BH55" s="15" t="n"/>
      <c r="BI55" s="6" t="n"/>
      <c r="BJ55" s="6" t="n"/>
      <c r="BK55" s="6" t="n"/>
      <c r="BL55" s="6" t="n"/>
    </row>
    <row r="56">
      <c r="A56" s="6" t="n"/>
      <c r="B56" s="14" t="n"/>
      <c r="C56" s="14" t="n"/>
      <c r="D56" s="15" t="n"/>
      <c r="E56" s="6" t="n"/>
      <c r="F56" s="6" t="n"/>
      <c r="G56" s="6" t="n"/>
      <c r="H56" s="6" t="n"/>
      <c r="I56" s="6" t="n"/>
      <c r="J56" s="14" t="n"/>
      <c r="K56" s="14" t="n"/>
      <c r="L56" s="15" t="n"/>
      <c r="M56" s="6" t="n"/>
      <c r="N56" s="6" t="n"/>
      <c r="O56" s="6" t="n"/>
      <c r="P56" s="6" t="n"/>
      <c r="Q56" s="6" t="n"/>
      <c r="R56" s="14" t="n"/>
      <c r="S56" s="14" t="n"/>
      <c r="T56" s="15" t="n"/>
      <c r="U56" s="6" t="n"/>
      <c r="V56" s="6" t="n"/>
      <c r="W56" s="6" t="n"/>
      <c r="X56" s="6" t="n"/>
      <c r="Z56" s="14" t="n"/>
      <c r="AA56" s="14" t="n"/>
      <c r="AB56" s="15" t="n"/>
      <c r="AC56" s="6" t="n"/>
      <c r="AD56" s="6" t="n"/>
      <c r="AE56" s="6" t="n"/>
      <c r="AF56" s="6" t="n"/>
      <c r="AH56" s="14" t="n"/>
      <c r="AI56" s="14" t="n"/>
      <c r="AJ56" s="15" t="n"/>
      <c r="AK56" s="6" t="n"/>
      <c r="AL56" s="6" t="n"/>
      <c r="AM56" s="6" t="n"/>
      <c r="AN56" s="6" t="n"/>
      <c r="AP56" s="14" t="n"/>
      <c r="AQ56" s="14" t="n"/>
      <c r="AR56" s="15" t="n"/>
      <c r="AS56" s="6" t="n"/>
      <c r="AT56" s="6" t="n"/>
      <c r="AU56" s="6" t="n"/>
      <c r="AV56" s="6" t="n"/>
      <c r="AX56" s="14" t="n"/>
      <c r="AY56" s="14" t="n"/>
      <c r="AZ56" s="15" t="n"/>
      <c r="BA56" s="6" t="n"/>
      <c r="BB56" s="6" t="n"/>
      <c r="BC56" s="6" t="n"/>
      <c r="BD56" s="6" t="n"/>
      <c r="BF56" s="14" t="n"/>
      <c r="BG56" s="14" t="n"/>
      <c r="BH56" s="15" t="n"/>
      <c r="BI56" s="6" t="n"/>
      <c r="BJ56" s="6" t="n"/>
      <c r="BK56" s="6" t="n"/>
      <c r="BL56" s="6" t="n"/>
    </row>
    <row r="57">
      <c r="A57" s="6" t="n"/>
      <c r="B57" s="14" t="n"/>
      <c r="C57" s="14" t="n"/>
      <c r="D57" s="15" t="n"/>
      <c r="E57" s="6" t="n"/>
      <c r="F57" s="6" t="n"/>
      <c r="G57" s="6" t="n"/>
      <c r="H57" s="6" t="n"/>
      <c r="I57" s="6" t="n"/>
      <c r="J57" s="14" t="n"/>
      <c r="K57" s="14" t="n"/>
      <c r="L57" s="15" t="n"/>
      <c r="M57" s="6" t="n"/>
      <c r="N57" s="6" t="n"/>
      <c r="O57" s="6" t="n"/>
      <c r="P57" s="6" t="n"/>
      <c r="Q57" s="6" t="n"/>
      <c r="R57" s="14" t="n"/>
      <c r="S57" s="14" t="n"/>
      <c r="T57" s="15" t="n"/>
      <c r="U57" s="6" t="n"/>
      <c r="V57" s="6" t="n"/>
      <c r="W57" s="6" t="n"/>
      <c r="X57" s="6" t="n"/>
      <c r="Z57" s="14" t="n"/>
      <c r="AA57" s="14" t="n"/>
      <c r="AB57" s="15" t="n"/>
      <c r="AC57" s="6" t="n"/>
      <c r="AD57" s="6" t="n"/>
      <c r="AE57" s="6" t="n"/>
      <c r="AF57" s="6" t="n"/>
      <c r="AH57" s="14" t="n"/>
      <c r="AI57" s="14" t="n"/>
      <c r="AJ57" s="15" t="n"/>
      <c r="AK57" s="6" t="n"/>
      <c r="AL57" s="6" t="n"/>
      <c r="AM57" s="6" t="n"/>
      <c r="AN57" s="6" t="n"/>
      <c r="AP57" s="14" t="n"/>
      <c r="AQ57" s="14" t="n"/>
      <c r="AR57" s="15" t="n"/>
      <c r="AS57" s="6" t="n"/>
      <c r="AT57" s="6" t="n"/>
      <c r="AU57" s="6" t="n"/>
      <c r="AV57" s="6" t="n"/>
      <c r="AX57" s="14" t="n"/>
      <c r="AY57" s="14" t="n"/>
      <c r="AZ57" s="15" t="n"/>
      <c r="BA57" s="6" t="n"/>
      <c r="BB57" s="6" t="n"/>
      <c r="BC57" s="6" t="n"/>
      <c r="BD57" s="6" t="n"/>
      <c r="BF57" s="14" t="n"/>
      <c r="BG57" s="14" t="n"/>
      <c r="BH57" s="15" t="n"/>
      <c r="BI57" s="6" t="n"/>
      <c r="BJ57" s="6" t="n"/>
      <c r="BK57" s="6" t="n"/>
      <c r="BL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Z58" s="6" t="n"/>
      <c r="AA58" s="6" t="n"/>
      <c r="AB58" s="6" t="n"/>
      <c r="AC58" s="6" t="n"/>
      <c r="AD58" s="6" t="n"/>
      <c r="AE58" s="6" t="n"/>
      <c r="AF58" s="6" t="n"/>
      <c r="AH58" s="6" t="n"/>
      <c r="AI58" s="6" t="n"/>
      <c r="AJ58" s="6" t="n"/>
      <c r="AK58" s="6" t="n"/>
      <c r="AL58" s="6" t="n"/>
      <c r="AM58" s="6" t="n"/>
      <c r="AN58" s="6" t="n"/>
      <c r="AP58" s="6" t="n"/>
      <c r="AQ58" s="6" t="n"/>
      <c r="AR58" s="6" t="n"/>
      <c r="AS58" s="6" t="n"/>
      <c r="AT58" s="6" t="n"/>
      <c r="AU58" s="6" t="n"/>
      <c r="AV58" s="6" t="n"/>
      <c r="AX58" s="6" t="n"/>
      <c r="AY58" s="6" t="n"/>
      <c r="AZ58" s="6" t="n"/>
      <c r="BA58" s="6" t="n"/>
      <c r="BB58" s="6" t="n"/>
      <c r="BC58" s="6" t="n"/>
      <c r="BD58" s="6" t="n"/>
      <c r="BF58" s="6" t="n"/>
      <c r="BG58" s="6" t="n"/>
      <c r="BH58" s="6" t="n"/>
      <c r="BI58" s="6" t="n"/>
      <c r="BJ58" s="6" t="n"/>
      <c r="BK58" s="6" t="n"/>
      <c r="BL58" s="6" t="n"/>
    </row>
    <row r="59">
      <c r="A59" s="6" t="n"/>
      <c r="B59" s="79" t="inlineStr">
        <is>
          <t xml:space="preserve">Total amount for Wizz air bookings / in "SKY SPEED"/ </t>
        </is>
      </c>
      <c r="C59" s="63" t="n"/>
      <c r="D59" s="63" t="n"/>
      <c r="E59" s="64" t="n"/>
      <c r="F59" s="17">
        <f>SUM(B43:B57)</f>
        <v/>
      </c>
      <c r="G59" s="16" t="inlineStr">
        <is>
          <t>EUR</t>
        </is>
      </c>
      <c r="I59" s="6" t="n"/>
      <c r="J59" s="79" t="inlineStr">
        <is>
          <t>Total amount for PEGASUS bookings</t>
        </is>
      </c>
      <c r="K59" s="63" t="n"/>
      <c r="L59" s="63" t="n"/>
      <c r="M59" s="64" t="n"/>
      <c r="N59" s="17">
        <f>SUM(J43:J57)</f>
        <v/>
      </c>
      <c r="O59" s="16" t="inlineStr">
        <is>
          <t>EUR</t>
        </is>
      </c>
      <c r="Q59" s="6" t="n"/>
      <c r="R59" s="79" t="inlineStr">
        <is>
          <t xml:space="preserve">Total amount for Ajet bookings </t>
        </is>
      </c>
      <c r="S59" s="63" t="n"/>
      <c r="T59" s="63" t="n"/>
      <c r="U59" s="64" t="n"/>
      <c r="V59" s="17">
        <f>SUM(R43:R57)</f>
        <v/>
      </c>
      <c r="W59" s="16" t="inlineStr">
        <is>
          <t>EUR</t>
        </is>
      </c>
      <c r="X59" s="6" t="n"/>
      <c r="Z59" s="79" t="inlineStr">
        <is>
          <t xml:space="preserve">Total amount for Ajet bookings </t>
        </is>
      </c>
      <c r="AA59" s="63" t="n"/>
      <c r="AB59" s="63" t="n"/>
      <c r="AC59" s="64" t="n"/>
      <c r="AD59" s="17">
        <f>SUM(R43:R57)</f>
        <v/>
      </c>
      <c r="AE59" s="16" t="inlineStr">
        <is>
          <t>EUR</t>
        </is>
      </c>
      <c r="AF59" s="6" t="n"/>
      <c r="AH59" s="79" t="inlineStr">
        <is>
          <t xml:space="preserve">Total amount for Ajet bookings </t>
        </is>
      </c>
      <c r="AI59" s="63" t="n"/>
      <c r="AJ59" s="63" t="n"/>
      <c r="AK59" s="64" t="n"/>
      <c r="AL59" s="17">
        <f>SUM(R43:R57)</f>
        <v/>
      </c>
      <c r="AM59" s="16" t="inlineStr">
        <is>
          <t>EUR</t>
        </is>
      </c>
      <c r="AN59" s="6" t="n"/>
      <c r="AP59" s="79" t="inlineStr">
        <is>
          <t xml:space="preserve">Total amount for Ajet bookings </t>
        </is>
      </c>
      <c r="AQ59" s="63" t="n"/>
      <c r="AR59" s="63" t="n"/>
      <c r="AS59" s="64" t="n"/>
      <c r="AT59" s="17">
        <f>SUM(R43:R57)</f>
        <v/>
      </c>
      <c r="AU59" s="16" t="inlineStr">
        <is>
          <t>EUR</t>
        </is>
      </c>
      <c r="AV59" s="6" t="n"/>
      <c r="AX59" s="79" t="inlineStr">
        <is>
          <t xml:space="preserve">Total amount for Ajet bookings </t>
        </is>
      </c>
      <c r="AY59" s="63" t="n"/>
      <c r="AZ59" s="63" t="n"/>
      <c r="BA59" s="64" t="n"/>
      <c r="BB59" s="17">
        <f>SUM(R43:R57)</f>
        <v/>
      </c>
      <c r="BC59" s="16" t="inlineStr">
        <is>
          <t>EUR</t>
        </is>
      </c>
      <c r="BD59" s="6" t="n"/>
      <c r="BF59" s="79" t="inlineStr">
        <is>
          <t xml:space="preserve">Total amount for Ajet bookings </t>
        </is>
      </c>
      <c r="BG59" s="63" t="n"/>
      <c r="BH59" s="63" t="n"/>
      <c r="BI59" s="64" t="n"/>
      <c r="BJ59" s="17">
        <f>SUM(R43:R57)</f>
        <v/>
      </c>
      <c r="BK59" s="16" t="inlineStr">
        <is>
          <t>EUR</t>
        </is>
      </c>
      <c r="BL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Z60" s="6" t="n"/>
      <c r="AA60" s="6" t="n"/>
      <c r="AB60" s="6" t="n"/>
      <c r="AC60" s="6" t="n"/>
      <c r="AD60" s="6" t="n"/>
      <c r="AE60" s="6" t="n"/>
      <c r="AF60" s="6" t="n"/>
      <c r="AH60" s="6" t="n"/>
      <c r="AI60" s="6" t="n"/>
      <c r="AJ60" s="6" t="n"/>
      <c r="AK60" s="6" t="n"/>
      <c r="AL60" s="6" t="n"/>
      <c r="AM60" s="6" t="n"/>
      <c r="AN60" s="6" t="n"/>
      <c r="AP60" s="6" t="n"/>
      <c r="AQ60" s="6" t="n"/>
      <c r="AR60" s="6" t="n"/>
      <c r="AS60" s="6" t="n"/>
      <c r="AT60" s="6" t="n"/>
      <c r="AU60" s="6" t="n"/>
      <c r="AV60" s="6" t="n"/>
      <c r="AX60" s="6" t="n"/>
      <c r="AY60" s="6" t="n"/>
      <c r="AZ60" s="6" t="n"/>
      <c r="BA60" s="6" t="n"/>
      <c r="BB60" s="6" t="n"/>
      <c r="BC60" s="6" t="n"/>
      <c r="BD60" s="6" t="n"/>
      <c r="BF60" s="6" t="n"/>
      <c r="BG60" s="6" t="n"/>
      <c r="BH60" s="6" t="n"/>
      <c r="BI60" s="6" t="n"/>
      <c r="BJ60" s="6" t="n"/>
      <c r="BK60" s="6" t="n"/>
      <c r="BL60" s="6" t="n"/>
    </row>
    <row r="61">
      <c r="A61" s="6" t="n"/>
      <c r="B61" s="56" t="inlineStr">
        <is>
          <t>Airport remuneration (Provizija na kartu)</t>
        </is>
      </c>
      <c r="C61" s="63" t="n"/>
      <c r="D61" s="64" t="n"/>
      <c r="E61" s="80">
        <f>SUM(D43:D57)*30+SUM(L43:L57)*30+SUM(T43:T57)*30</f>
        <v/>
      </c>
      <c r="F61" s="64" t="n"/>
      <c r="G61" s="16" t="inlineStr">
        <is>
          <t>KM</t>
        </is>
      </c>
      <c r="H61" s="6" t="n"/>
      <c r="I61" s="6" t="n"/>
      <c r="J61" s="6" t="n"/>
      <c r="K61" s="6" t="n"/>
      <c r="L61" s="6" t="inlineStr">
        <is>
          <t>   </t>
        </is>
      </c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Z61" s="6" t="n"/>
      <c r="AA61" s="6" t="n"/>
      <c r="AB61" s="6" t="n"/>
      <c r="AC61" s="6" t="n"/>
      <c r="AD61" s="6" t="n"/>
      <c r="AE61" s="6" t="n"/>
      <c r="AF61" s="6" t="n"/>
      <c r="AH61" s="6" t="n"/>
      <c r="AI61" s="6" t="n"/>
      <c r="AJ61" s="6" t="n"/>
      <c r="AK61" s="6" t="n"/>
      <c r="AL61" s="6" t="n"/>
      <c r="AM61" s="6" t="n"/>
      <c r="AN61" s="6" t="n"/>
      <c r="AP61" s="6" t="n"/>
      <c r="AQ61" s="6" t="n"/>
      <c r="AR61" s="6" t="n"/>
      <c r="AS61" s="6" t="n"/>
      <c r="AT61" s="6" t="n"/>
      <c r="AU61" s="6" t="n"/>
      <c r="AV61" s="6" t="n"/>
      <c r="AX61" s="6" t="n"/>
      <c r="AY61" s="6" t="n"/>
      <c r="AZ61" s="6" t="n"/>
      <c r="BA61" s="6" t="n"/>
      <c r="BB61" s="6" t="n"/>
      <c r="BC61" s="6" t="n"/>
      <c r="BD61" s="6" t="n"/>
      <c r="BF61" s="6" t="n"/>
      <c r="BG61" s="6" t="n"/>
      <c r="BH61" s="6" t="n"/>
      <c r="BI61" s="6" t="n"/>
      <c r="BJ61" s="6" t="n"/>
      <c r="BK61" s="6" t="n"/>
      <c r="BL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Z62" s="6" t="n"/>
      <c r="AA62" s="6" t="n"/>
      <c r="AB62" s="6" t="n"/>
      <c r="AC62" s="6" t="n"/>
      <c r="AD62" s="6" t="n"/>
      <c r="AE62" s="6" t="n"/>
      <c r="AF62" s="6" t="n"/>
      <c r="AH62" s="6" t="n"/>
      <c r="AI62" s="6" t="n"/>
      <c r="AJ62" s="6" t="n"/>
      <c r="AK62" s="6" t="n"/>
      <c r="AL62" s="6" t="n"/>
      <c r="AM62" s="6" t="n"/>
      <c r="AN62" s="6" t="n"/>
      <c r="AP62" s="6" t="n"/>
      <c r="AQ62" s="6" t="n"/>
      <c r="AR62" s="6" t="n"/>
      <c r="AS62" s="6" t="n"/>
      <c r="AT62" s="6" t="n"/>
      <c r="AU62" s="6" t="n"/>
      <c r="AV62" s="6" t="n"/>
      <c r="AX62" s="6" t="n"/>
      <c r="AY62" s="6" t="n"/>
      <c r="AZ62" s="6" t="n"/>
      <c r="BA62" s="6" t="n"/>
      <c r="BB62" s="6" t="n"/>
      <c r="BC62" s="6" t="n"/>
      <c r="BD62" s="6" t="n"/>
      <c r="BF62" s="6" t="n"/>
      <c r="BG62" s="6" t="n"/>
      <c r="BH62" s="6" t="n"/>
      <c r="BI62" s="6" t="n"/>
      <c r="BJ62" s="6" t="n"/>
      <c r="BK62" s="6" t="n"/>
      <c r="BL62" s="6" t="n"/>
    </row>
    <row r="63">
      <c r="A63" s="6" t="n"/>
      <c r="B63" s="59" t="inlineStr">
        <is>
          <t>3. PVC ZIP vrecice prodate:</t>
        </is>
      </c>
      <c r="C63" s="64" t="n"/>
      <c r="D63" s="22" t="n"/>
      <c r="E63" s="81">
        <f>D63*5</f>
        <v/>
      </c>
      <c r="F63" s="64" t="n"/>
      <c r="G63" s="16" t="inlineStr">
        <is>
          <t>KM</t>
        </is>
      </c>
      <c r="H63" s="6" t="n"/>
      <c r="I63" s="6" t="n"/>
      <c r="J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Z63" s="6" t="n"/>
      <c r="AA63" s="6" t="n"/>
      <c r="AB63" s="6" t="n"/>
      <c r="AC63" s="6" t="n"/>
      <c r="AD63" s="6" t="n"/>
      <c r="AE63" s="6" t="n"/>
      <c r="AF63" s="6" t="n"/>
      <c r="AH63" s="6" t="n"/>
      <c r="AI63" s="6" t="n"/>
      <c r="AJ63" s="6" t="n"/>
      <c r="AK63" s="6" t="n"/>
      <c r="AL63" s="6" t="n"/>
      <c r="AM63" s="6" t="n"/>
      <c r="AN63" s="6" t="n"/>
      <c r="AP63" s="6" t="n"/>
      <c r="AQ63" s="6" t="n"/>
      <c r="AR63" s="6" t="n"/>
      <c r="AS63" s="6" t="n"/>
      <c r="AT63" s="6" t="n"/>
      <c r="AU63" s="6" t="n"/>
      <c r="AV63" s="6" t="n"/>
      <c r="AX63" s="6" t="n"/>
      <c r="AY63" s="6" t="n"/>
      <c r="AZ63" s="6" t="n"/>
      <c r="BA63" s="6" t="n"/>
      <c r="BB63" s="6" t="n"/>
      <c r="BC63" s="6" t="n"/>
      <c r="BD63" s="6" t="n"/>
      <c r="BF63" s="6" t="n"/>
      <c r="BG63" s="6" t="n"/>
      <c r="BH63" s="6" t="n"/>
      <c r="BI63" s="6" t="n"/>
      <c r="BJ63" s="6" t="n"/>
      <c r="BK63" s="6" t="n"/>
      <c r="BL63" s="6" t="n"/>
    </row>
    <row r="64">
      <c r="A64" s="6" t="n"/>
      <c r="B64" s="60" t="inlineStr">
        <is>
          <t>4. Higijenske Maske</t>
        </is>
      </c>
      <c r="C64" s="64" t="n"/>
      <c r="D64" s="22" t="n"/>
      <c r="E64" s="81">
        <f>D64*1</f>
        <v/>
      </c>
      <c r="F64" s="64" t="n"/>
      <c r="G64" s="16" t="inlineStr">
        <is>
          <t>KM</t>
        </is>
      </c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Z64" s="6" t="n"/>
      <c r="AA64" s="6" t="n"/>
      <c r="AB64" s="6" t="n"/>
      <c r="AC64" s="6" t="n"/>
      <c r="AD64" s="6" t="n"/>
      <c r="AE64" s="6" t="n"/>
      <c r="AF64" s="6" t="n"/>
      <c r="AH64" s="6" t="n"/>
      <c r="AI64" s="6" t="n"/>
      <c r="AJ64" s="6" t="n"/>
      <c r="AK64" s="6" t="n"/>
      <c r="AL64" s="6" t="n"/>
      <c r="AM64" s="6" t="n"/>
      <c r="AN64" s="6" t="n"/>
      <c r="AP64" s="6" t="n"/>
      <c r="AQ64" s="6" t="n"/>
      <c r="AR64" s="6" t="n"/>
      <c r="AS64" s="6" t="n"/>
      <c r="AT64" s="6" t="n"/>
      <c r="AU64" s="6" t="n"/>
      <c r="AV64" s="6" t="n"/>
      <c r="AX64" s="6" t="n"/>
      <c r="AY64" s="6" t="n"/>
      <c r="AZ64" s="6" t="n"/>
      <c r="BA64" s="6" t="n"/>
      <c r="BB64" s="6" t="n"/>
      <c r="BC64" s="6" t="n"/>
      <c r="BD64" s="6" t="n"/>
      <c r="BF64" s="6" t="n"/>
      <c r="BG64" s="6" t="n"/>
      <c r="BH64" s="6" t="n"/>
      <c r="BI64" s="6" t="n"/>
      <c r="BJ64" s="6" t="n"/>
      <c r="BK64" s="6" t="n"/>
      <c r="BL64" s="6" t="n"/>
    </row>
    <row r="65">
      <c r="A65" s="6" t="n"/>
      <c r="B65" s="60" t="inlineStr">
        <is>
          <t>5. Internet kodovi</t>
        </is>
      </c>
      <c r="C65" s="64" t="n"/>
      <c r="D65" s="22" t="n">
        <v>27</v>
      </c>
      <c r="E65" s="81">
        <f>D65*3</f>
        <v/>
      </c>
      <c r="F65" s="64" t="n"/>
      <c r="G65" s="16" t="inlineStr">
        <is>
          <t>KM</t>
        </is>
      </c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Z65" s="6" t="n"/>
      <c r="AA65" s="6" t="n"/>
      <c r="AB65" s="6" t="n"/>
      <c r="AC65" s="6" t="n"/>
      <c r="AD65" s="6" t="n"/>
      <c r="AE65" s="6" t="n"/>
      <c r="AF65" s="6" t="n"/>
      <c r="AH65" s="6" t="n"/>
      <c r="AI65" s="6" t="n"/>
      <c r="AJ65" s="6" t="n"/>
      <c r="AK65" s="6" t="n"/>
      <c r="AL65" s="6" t="n"/>
      <c r="AM65" s="6" t="n"/>
      <c r="AN65" s="6" t="n"/>
      <c r="AP65" s="6" t="n"/>
      <c r="AQ65" s="6" t="n"/>
      <c r="AR65" s="6" t="n"/>
      <c r="AS65" s="6" t="n"/>
      <c r="AT65" s="6" t="n"/>
      <c r="AU65" s="6" t="n"/>
      <c r="AV65" s="6" t="n"/>
      <c r="AX65" s="6" t="n"/>
      <c r="AY65" s="6" t="n"/>
      <c r="AZ65" s="6" t="n"/>
      <c r="BA65" s="6" t="n"/>
      <c r="BB65" s="6" t="n"/>
      <c r="BC65" s="6" t="n"/>
      <c r="BD65" s="6" t="n"/>
      <c r="BF65" s="6" t="n"/>
      <c r="BG65" s="6" t="n"/>
      <c r="BH65" s="6" t="n"/>
      <c r="BI65" s="6" t="n"/>
      <c r="BJ65" s="6" t="n"/>
      <c r="BK65" s="6" t="n"/>
      <c r="BL65" s="6" t="n"/>
    </row>
    <row r="66">
      <c r="A66" s="6" t="n"/>
      <c r="B66" s="60" t="inlineStr">
        <is>
          <t>6. Dječija nedelja</t>
        </is>
      </c>
      <c r="C66" s="64" t="n"/>
      <c r="D66" s="23" t="n"/>
      <c r="E66" s="81" t="n"/>
      <c r="F66" s="64" t="n"/>
      <c r="G66" s="16" t="inlineStr">
        <is>
          <t>KM</t>
        </is>
      </c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Z66" s="6" t="n"/>
      <c r="AA66" s="6" t="n"/>
      <c r="AB66" s="6" t="n"/>
      <c r="AC66" s="6" t="n"/>
      <c r="AD66" s="6" t="n"/>
      <c r="AE66" s="6" t="n"/>
      <c r="AF66" s="6" t="n"/>
      <c r="AH66" s="6" t="n"/>
      <c r="AI66" s="6" t="n"/>
      <c r="AJ66" s="6" t="n"/>
      <c r="AK66" s="6" t="n"/>
      <c r="AL66" s="6" t="n"/>
      <c r="AM66" s="6" t="n"/>
      <c r="AN66" s="6" t="n"/>
      <c r="AP66" s="6" t="n"/>
      <c r="AQ66" s="6" t="n"/>
      <c r="AR66" s="6" t="n"/>
      <c r="AS66" s="6" t="n"/>
      <c r="AT66" s="6" t="n"/>
      <c r="AU66" s="6" t="n"/>
      <c r="AV66" s="6" t="n"/>
      <c r="AX66" s="6" t="n"/>
      <c r="AY66" s="6" t="n"/>
      <c r="AZ66" s="6" t="n"/>
      <c r="BA66" s="6" t="n"/>
      <c r="BB66" s="6" t="n"/>
      <c r="BC66" s="6" t="n"/>
      <c r="BD66" s="6" t="n"/>
      <c r="BF66" s="6" t="n"/>
      <c r="BG66" s="6" t="n"/>
      <c r="BH66" s="6" t="n"/>
      <c r="BI66" s="6" t="n"/>
      <c r="BJ66" s="6" t="n"/>
      <c r="BK66" s="6" t="n"/>
      <c r="BL66" s="6" t="n"/>
    </row>
    <row r="67">
      <c r="A67" s="6" t="n"/>
      <c r="B67" s="60" t="inlineStr">
        <is>
          <t>7. Dodatni Aerodromski servis</t>
        </is>
      </c>
      <c r="C67" s="64" t="n"/>
      <c r="D67" s="20" t="n"/>
      <c r="E67" s="81">
        <f>D67*10+V38</f>
        <v/>
      </c>
      <c r="F67" s="64" t="n"/>
      <c r="G67" s="21" t="inlineStr">
        <is>
          <t>KM</t>
        </is>
      </c>
      <c r="H67" s="6" t="n"/>
      <c r="I67" s="6" t="n"/>
      <c r="J67" s="28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Z67" s="6" t="n"/>
      <c r="AA67" s="6" t="n"/>
      <c r="AB67" s="6" t="n"/>
      <c r="AC67" s="6" t="n"/>
      <c r="AD67" s="6" t="n"/>
      <c r="AE67" s="6" t="n"/>
      <c r="AF67" s="6" t="n"/>
      <c r="AH67" s="6" t="n"/>
      <c r="AI67" s="6" t="n"/>
      <c r="AJ67" s="6" t="n"/>
      <c r="AK67" s="6" t="n"/>
      <c r="AL67" s="6" t="n"/>
      <c r="AM67" s="6" t="n"/>
      <c r="AN67" s="6" t="n"/>
      <c r="AP67" s="6" t="n"/>
      <c r="AQ67" s="6" t="n"/>
      <c r="AR67" s="6" t="n"/>
      <c r="AS67" s="6" t="n"/>
      <c r="AT67" s="6" t="n"/>
      <c r="AU67" s="6" t="n"/>
      <c r="AV67" s="6" t="n"/>
      <c r="AX67" s="6" t="n"/>
      <c r="AY67" s="6" t="n"/>
      <c r="AZ67" s="6" t="n"/>
      <c r="BA67" s="6" t="n"/>
      <c r="BB67" s="6" t="n"/>
      <c r="BC67" s="6" t="n"/>
      <c r="BD67" s="6" t="n"/>
      <c r="BF67" s="6" t="n"/>
      <c r="BG67" s="6" t="n"/>
      <c r="BH67" s="6" t="n"/>
      <c r="BI67" s="6" t="n"/>
      <c r="BJ67" s="6" t="n"/>
      <c r="BK67" s="6" t="n"/>
      <c r="BL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24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Z68" s="6" t="n"/>
      <c r="AA68" s="6" t="n"/>
      <c r="AB68" s="6" t="n"/>
      <c r="AC68" s="6" t="n"/>
      <c r="AD68" s="6" t="n"/>
      <c r="AE68" s="6" t="n"/>
      <c r="AF68" s="6" t="n"/>
      <c r="AH68" s="6" t="n"/>
      <c r="AI68" s="6" t="n"/>
      <c r="AJ68" s="6" t="n"/>
      <c r="AK68" s="6" t="n"/>
      <c r="AL68" s="6" t="n"/>
      <c r="AM68" s="6" t="n"/>
      <c r="AN68" s="6" t="n"/>
      <c r="AP68" s="6" t="n"/>
      <c r="AQ68" s="6" t="n"/>
      <c r="AR68" s="6" t="n"/>
      <c r="AS68" s="6" t="n"/>
      <c r="AT68" s="6" t="n"/>
      <c r="AU68" s="6" t="n"/>
      <c r="AV68" s="6" t="n"/>
      <c r="AX68" s="6" t="n"/>
      <c r="AY68" s="6" t="n"/>
      <c r="AZ68" s="6" t="n"/>
      <c r="BA68" s="6" t="n"/>
      <c r="BB68" s="6" t="n"/>
      <c r="BC68" s="6" t="n"/>
      <c r="BD68" s="6" t="n"/>
      <c r="BF68" s="6" t="n"/>
      <c r="BG68" s="6" t="n"/>
      <c r="BH68" s="6" t="n"/>
      <c r="BI68" s="6" t="n"/>
      <c r="BJ68" s="6" t="n"/>
      <c r="BK68" s="6" t="n"/>
      <c r="BL68" s="6" t="n"/>
    </row>
    <row r="69">
      <c r="A69" s="6" t="n"/>
      <c r="B69" s="56" t="inlineStr">
        <is>
          <t>Amount for Wizz air</t>
        </is>
      </c>
      <c r="C69" s="64" t="n"/>
      <c r="D69" s="26">
        <f>F59+F37</f>
        <v/>
      </c>
      <c r="E69" s="16" t="inlineStr">
        <is>
          <t>EUR</t>
        </is>
      </c>
      <c r="F69" s="6" t="n"/>
      <c r="G69" s="25" t="n"/>
      <c r="H69" s="25" t="n"/>
      <c r="I69" s="25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Z69" s="6" t="n"/>
      <c r="AA69" s="6" t="n"/>
      <c r="AB69" s="6" t="n"/>
      <c r="AC69" s="6" t="n"/>
      <c r="AD69" s="6" t="n"/>
      <c r="AE69" s="6" t="n"/>
      <c r="AF69" s="6" t="n"/>
      <c r="AH69" s="6" t="n"/>
      <c r="AI69" s="6" t="n"/>
      <c r="AJ69" s="6" t="n"/>
      <c r="AK69" s="6" t="n"/>
      <c r="AL69" s="6" t="n"/>
      <c r="AM69" s="6" t="n"/>
      <c r="AN69" s="6" t="n"/>
      <c r="AP69" s="6" t="n"/>
      <c r="AQ69" s="6" t="n"/>
      <c r="AR69" s="6" t="n"/>
      <c r="AS69" s="6" t="n"/>
      <c r="AT69" s="6" t="n"/>
      <c r="AU69" s="6" t="n"/>
      <c r="AV69" s="6" t="n"/>
      <c r="AX69" s="6" t="n"/>
      <c r="AY69" s="6" t="n"/>
      <c r="AZ69" s="6" t="n"/>
      <c r="BA69" s="6" t="n"/>
      <c r="BB69" s="6" t="n"/>
      <c r="BC69" s="6" t="n"/>
      <c r="BD69" s="6" t="n"/>
      <c r="BF69" s="6" t="n"/>
      <c r="BG69" s="6" t="n"/>
      <c r="BH69" s="6" t="n"/>
      <c r="BI69" s="6" t="n"/>
      <c r="BJ69" s="6" t="n"/>
      <c r="BK69" s="6" t="n"/>
      <c r="BL69" s="6" t="n"/>
    </row>
    <row r="70">
      <c r="A70" s="6" t="n"/>
      <c r="B70" s="56" t="inlineStr">
        <is>
          <t>Amount for PEGASUS</t>
        </is>
      </c>
      <c r="C70" s="64" t="n"/>
      <c r="D70" s="26">
        <f>V37+V59</f>
        <v/>
      </c>
      <c r="E70" s="16" t="inlineStr">
        <is>
          <t>EUR</t>
        </is>
      </c>
      <c r="F70" s="6" t="n"/>
      <c r="G70" s="25" t="n"/>
      <c r="H70" s="25" t="n"/>
      <c r="I70" s="25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Z70" s="6" t="n"/>
      <c r="AA70" s="6" t="n"/>
      <c r="AB70" s="6" t="n"/>
      <c r="AC70" s="6" t="n"/>
      <c r="AD70" s="6" t="n"/>
      <c r="AE70" s="6" t="n"/>
      <c r="AF70" s="6" t="n"/>
      <c r="AH70" s="6" t="n"/>
      <c r="AI70" s="6" t="n"/>
      <c r="AJ70" s="6" t="n"/>
      <c r="AK70" s="6" t="n"/>
      <c r="AL70" s="6" t="n"/>
      <c r="AM70" s="6" t="n"/>
      <c r="AN70" s="6" t="n"/>
      <c r="AP70" s="6" t="n"/>
      <c r="AQ70" s="6" t="n"/>
      <c r="AR70" s="6" t="n"/>
      <c r="AS70" s="6" t="n"/>
      <c r="AT70" s="6" t="n"/>
      <c r="AU70" s="6" t="n"/>
      <c r="AV70" s="6" t="n"/>
      <c r="AX70" s="6" t="n"/>
      <c r="AY70" s="6" t="n"/>
      <c r="AZ70" s="6" t="n"/>
      <c r="BA70" s="6" t="n"/>
      <c r="BB70" s="6" t="n"/>
      <c r="BC70" s="6" t="n"/>
      <c r="BD70" s="6" t="n"/>
      <c r="BF70" s="6" t="n"/>
      <c r="BG70" s="6" t="n"/>
      <c r="BH70" s="6" t="n"/>
      <c r="BI70" s="6" t="n"/>
      <c r="BJ70" s="6" t="n"/>
      <c r="BK70" s="6" t="n"/>
      <c r="BL70" s="6" t="n"/>
    </row>
    <row r="71">
      <c r="A71" s="6" t="n"/>
      <c r="B71" s="56" t="inlineStr">
        <is>
          <t>Amount for Ajet</t>
        </is>
      </c>
      <c r="C71" s="64" t="n"/>
      <c r="D71" s="26">
        <f>N59+N37</f>
        <v/>
      </c>
      <c r="E71" s="16" t="inlineStr">
        <is>
          <t>EUR</t>
        </is>
      </c>
      <c r="F71" s="6" t="n"/>
      <c r="G71" s="25" t="n"/>
      <c r="H71" s="25" t="n"/>
      <c r="I71" s="25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Z71" s="6" t="n"/>
      <c r="AA71" s="6" t="n"/>
      <c r="AB71" s="6" t="n"/>
      <c r="AC71" s="6" t="n"/>
      <c r="AD71" s="6" t="n"/>
      <c r="AE71" s="6" t="n"/>
      <c r="AF71" s="6" t="n"/>
      <c r="AH71" s="6" t="n"/>
      <c r="AI71" s="6" t="n"/>
      <c r="AJ71" s="6" t="n"/>
      <c r="AK71" s="6" t="n"/>
      <c r="AL71" s="6" t="n"/>
      <c r="AM71" s="6" t="n"/>
      <c r="AN71" s="6" t="n"/>
      <c r="AP71" s="6" t="n"/>
      <c r="AQ71" s="6" t="n"/>
      <c r="AR71" s="6" t="n"/>
      <c r="AS71" s="6" t="n"/>
      <c r="AT71" s="6" t="n"/>
      <c r="AU71" s="6" t="n"/>
      <c r="AV71" s="6" t="n"/>
      <c r="AX71" s="6" t="n"/>
      <c r="AY71" s="6" t="n"/>
      <c r="AZ71" s="6" t="n"/>
      <c r="BA71" s="6" t="n"/>
      <c r="BB71" s="6" t="n"/>
      <c r="BC71" s="6" t="n"/>
      <c r="BD71" s="6" t="n"/>
      <c r="BF71" s="6" t="n"/>
      <c r="BG71" s="6" t="n"/>
      <c r="BH71" s="6" t="n"/>
      <c r="BI71" s="6" t="n"/>
      <c r="BJ71" s="6" t="n"/>
      <c r="BK71" s="6" t="n"/>
      <c r="BL71" s="6" t="n"/>
    </row>
    <row r="72">
      <c r="A72" s="6" t="n"/>
      <c r="B72" s="56" t="inlineStr">
        <is>
          <t>Amount for Airport Tuzla</t>
        </is>
      </c>
      <c r="C72" s="64" t="n"/>
      <c r="D72" s="26">
        <f>E63+E64+E65+E66+E67+E61+F38+N38</f>
        <v/>
      </c>
      <c r="E72" s="16" t="inlineStr">
        <is>
          <t>KM</t>
        </is>
      </c>
      <c r="F72" s="6" t="n"/>
      <c r="G72" s="25" t="n"/>
      <c r="H72" s="25" t="n"/>
      <c r="I72" s="25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Z72" s="6" t="n"/>
      <c r="AA72" s="6" t="n"/>
      <c r="AB72" s="6" t="n"/>
      <c r="AC72" s="6" t="n"/>
      <c r="AD72" s="6" t="n"/>
      <c r="AE72" s="6" t="n"/>
      <c r="AF72" s="6" t="n"/>
      <c r="AH72" s="6" t="n"/>
      <c r="AI72" s="6" t="n"/>
      <c r="AJ72" s="6" t="n"/>
      <c r="AK72" s="6" t="n"/>
      <c r="AL72" s="6" t="n"/>
      <c r="AM72" s="6" t="n"/>
      <c r="AN72" s="6" t="n"/>
      <c r="AP72" s="6" t="n"/>
      <c r="AQ72" s="6" t="n"/>
      <c r="AR72" s="6" t="n"/>
      <c r="AS72" s="6" t="n"/>
      <c r="AT72" s="6" t="n"/>
      <c r="AU72" s="6" t="n"/>
      <c r="AV72" s="6" t="n"/>
      <c r="AX72" s="6" t="n"/>
      <c r="AY72" s="6" t="n"/>
      <c r="AZ72" s="6" t="n"/>
      <c r="BA72" s="6" t="n"/>
      <c r="BB72" s="6" t="n"/>
      <c r="BC72" s="6" t="n"/>
      <c r="BD72" s="6" t="n"/>
      <c r="BF72" s="6" t="n"/>
      <c r="BG72" s="6" t="n"/>
      <c r="BH72" s="6" t="n"/>
      <c r="BI72" s="6" t="n"/>
      <c r="BJ72" s="6" t="n"/>
      <c r="BK72" s="6" t="n"/>
      <c r="BL72" s="6" t="n"/>
    </row>
    <row r="73">
      <c r="A73" s="6" t="n"/>
      <c r="B73" s="6" t="n"/>
      <c r="C73" s="6" t="n"/>
      <c r="D73" s="6" t="n"/>
      <c r="E73" s="6" t="n"/>
      <c r="F73" s="6" t="n"/>
      <c r="G73" s="25" t="n"/>
      <c r="H73" s="25" t="n"/>
      <c r="I73" s="25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Z73" s="6" t="n"/>
      <c r="AA73" s="6" t="n"/>
      <c r="AB73" s="6" t="n"/>
      <c r="AC73" s="6" t="n"/>
      <c r="AD73" s="6" t="n"/>
      <c r="AE73" s="6" t="n"/>
      <c r="AF73" s="6" t="n"/>
      <c r="AH73" s="6" t="n"/>
      <c r="AI73" s="6" t="n"/>
      <c r="AJ73" s="6" t="n"/>
      <c r="AK73" s="6" t="n"/>
      <c r="AL73" s="6" t="n"/>
      <c r="AM73" s="6" t="n"/>
      <c r="AN73" s="6" t="n"/>
      <c r="AP73" s="6" t="n"/>
      <c r="AQ73" s="6" t="n"/>
      <c r="AR73" s="6" t="n"/>
      <c r="AS73" s="6" t="n"/>
      <c r="AT73" s="6" t="n"/>
      <c r="AU73" s="6" t="n"/>
      <c r="AV73" s="6" t="n"/>
      <c r="AX73" s="6" t="n"/>
      <c r="AY73" s="6" t="n"/>
      <c r="AZ73" s="6" t="n"/>
      <c r="BA73" s="6" t="n"/>
      <c r="BB73" s="6" t="n"/>
      <c r="BC73" s="6" t="n"/>
      <c r="BD73" s="6" t="n"/>
      <c r="BF73" s="6" t="n"/>
      <c r="BG73" s="6" t="n"/>
      <c r="BH73" s="6" t="n"/>
      <c r="BI73" s="6" t="n"/>
      <c r="BJ73" s="6" t="n"/>
      <c r="BK73" s="6" t="n"/>
      <c r="BL73" s="6" t="n"/>
    </row>
    <row r="74">
      <c r="A74" s="6" t="n"/>
      <c r="B74" s="16" t="inlineStr">
        <is>
          <t xml:space="preserve">Tootal amount </t>
        </is>
      </c>
      <c r="C74" s="80">
        <f>D69*1.95583+D72+D71*1.95583</f>
        <v/>
      </c>
      <c r="D74" s="64" t="n"/>
      <c r="E74" s="16" t="inlineStr">
        <is>
          <t>KM</t>
        </is>
      </c>
      <c r="F74" s="6" t="n"/>
      <c r="G74" s="25" t="n"/>
      <c r="H74" s="25" t="n"/>
      <c r="I74" s="25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Z74" s="6" t="n"/>
      <c r="AA74" s="6" t="n"/>
      <c r="AB74" s="6" t="n"/>
      <c r="AC74" s="6" t="n"/>
      <c r="AD74" s="6" t="n"/>
      <c r="AE74" s="6" t="n"/>
      <c r="AF74" s="6" t="n"/>
      <c r="AH74" s="6" t="n"/>
      <c r="AI74" s="6" t="n"/>
      <c r="AJ74" s="6" t="n"/>
      <c r="AK74" s="6" t="n"/>
      <c r="AL74" s="6" t="n"/>
      <c r="AM74" s="6" t="n"/>
      <c r="AN74" s="6" t="n"/>
      <c r="AP74" s="6" t="n"/>
      <c r="AQ74" s="6" t="n"/>
      <c r="AR74" s="6" t="n"/>
      <c r="AS74" s="6" t="n"/>
      <c r="AT74" s="6" t="n"/>
      <c r="AU74" s="6" t="n"/>
      <c r="AV74" s="6" t="n"/>
      <c r="AX74" s="6" t="n"/>
      <c r="AY74" s="6" t="n"/>
      <c r="AZ74" s="6" t="n"/>
      <c r="BA74" s="6" t="n"/>
      <c r="BB74" s="6" t="n"/>
      <c r="BC74" s="6" t="n"/>
      <c r="BD74" s="6" t="n"/>
      <c r="BF74" s="6" t="n"/>
      <c r="BG74" s="6" t="n"/>
      <c r="BH74" s="6" t="n"/>
      <c r="BI74" s="6" t="n"/>
      <c r="BJ74" s="6" t="n"/>
      <c r="BK74" s="6" t="n"/>
      <c r="BL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Z75" s="6" t="n"/>
      <c r="AA75" s="6" t="n"/>
      <c r="AB75" s="6" t="n"/>
      <c r="AC75" s="6" t="n"/>
      <c r="AD75" s="6" t="n"/>
      <c r="AE75" s="6" t="n"/>
      <c r="AF75" s="6" t="n"/>
      <c r="AH75" s="6" t="n"/>
      <c r="AI75" s="6" t="n"/>
      <c r="AJ75" s="6" t="n"/>
      <c r="AK75" s="6" t="n"/>
      <c r="AL75" s="6" t="n"/>
      <c r="AM75" s="6" t="n"/>
      <c r="AN75" s="6" t="n"/>
      <c r="AP75" s="6" t="n"/>
      <c r="AQ75" s="6" t="n"/>
      <c r="AR75" s="6" t="n"/>
      <c r="AS75" s="6" t="n"/>
      <c r="AT75" s="6" t="n"/>
      <c r="AU75" s="6" t="n"/>
      <c r="AV75" s="6" t="n"/>
      <c r="AX75" s="6" t="n"/>
      <c r="AY75" s="6" t="n"/>
      <c r="AZ75" s="6" t="n"/>
      <c r="BA75" s="6" t="n"/>
      <c r="BB75" s="6" t="n"/>
      <c r="BC75" s="6" t="n"/>
      <c r="BD75" s="6" t="n"/>
      <c r="BF75" s="6" t="n"/>
      <c r="BG75" s="6" t="n"/>
      <c r="BH75" s="6" t="n"/>
      <c r="BI75" s="6" t="n"/>
      <c r="BJ75" s="6" t="n"/>
      <c r="BK75" s="6" t="n"/>
      <c r="BL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Z76" s="6" t="n"/>
      <c r="AA76" s="6" t="n"/>
      <c r="AB76" s="6" t="n"/>
      <c r="AC76" s="6" t="n"/>
      <c r="AD76" s="6" t="n"/>
      <c r="AE76" s="6" t="n"/>
      <c r="AF76" s="6" t="n"/>
      <c r="AH76" s="6" t="n"/>
      <c r="AI76" s="6" t="n"/>
      <c r="AJ76" s="6" t="n"/>
      <c r="AK76" s="6" t="n"/>
      <c r="AL76" s="6" t="n"/>
      <c r="AM76" s="6" t="n"/>
      <c r="AN76" s="6" t="n"/>
      <c r="AP76" s="6" t="n"/>
      <c r="AQ76" s="6" t="n"/>
      <c r="AR76" s="6" t="n"/>
      <c r="AS76" s="6" t="n"/>
      <c r="AT76" s="6" t="n"/>
      <c r="AU76" s="6" t="n"/>
      <c r="AV76" s="6" t="n"/>
      <c r="AX76" s="6" t="n"/>
      <c r="AY76" s="6" t="n"/>
      <c r="AZ76" s="6" t="n"/>
      <c r="BA76" s="6" t="n"/>
      <c r="BB76" s="6" t="n"/>
      <c r="BC76" s="6" t="n"/>
      <c r="BD76" s="6" t="n"/>
      <c r="BF76" s="6" t="n"/>
      <c r="BG76" s="6" t="n"/>
      <c r="BH76" s="6" t="n"/>
      <c r="BI76" s="6" t="n"/>
      <c r="BJ76" s="6" t="n"/>
      <c r="BK76" s="6" t="n"/>
      <c r="BL76" s="6" t="n"/>
    </row>
    <row r="77">
      <c r="A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Z77" s="6" t="n"/>
      <c r="AA77" s="6" t="n"/>
      <c r="AB77" s="6" t="n"/>
      <c r="AC77" s="6" t="n"/>
      <c r="AD77" s="6" t="n"/>
      <c r="AE77" s="6" t="n"/>
      <c r="AF77" s="6" t="n"/>
      <c r="AH77" s="6" t="n"/>
      <c r="AI77" s="6" t="n"/>
      <c r="AJ77" s="6" t="n"/>
      <c r="AK77" s="6" t="n"/>
      <c r="AL77" s="6" t="n"/>
      <c r="AM77" s="6" t="n"/>
      <c r="AN77" s="6" t="n"/>
      <c r="AP77" s="6" t="n"/>
      <c r="AQ77" s="6" t="n"/>
      <c r="AR77" s="6" t="n"/>
      <c r="AS77" s="6" t="n"/>
      <c r="AT77" s="6" t="n"/>
      <c r="AU77" s="6" t="n"/>
      <c r="AV77" s="6" t="n"/>
      <c r="AX77" s="6" t="n"/>
      <c r="AY77" s="6" t="n"/>
      <c r="AZ77" s="6" t="n"/>
      <c r="BA77" s="6" t="n"/>
      <c r="BB77" s="6" t="n"/>
      <c r="BC77" s="6" t="n"/>
      <c r="BD77" s="6" t="n"/>
      <c r="BF77" s="6" t="n"/>
      <c r="BG77" s="6" t="n"/>
      <c r="BH77" s="6" t="n"/>
      <c r="BI77" s="6" t="n"/>
      <c r="BJ77" s="6" t="n"/>
      <c r="BK77" s="6" t="n"/>
      <c r="BL77" s="6" t="n"/>
    </row>
  </sheetData>
  <mergeCells count="129">
    <mergeCell ref="BD3:BD4"/>
    <mergeCell ref="L3:L4"/>
    <mergeCell ref="N3:N4"/>
    <mergeCell ref="BF38:BI38"/>
    <mergeCell ref="F3:F4"/>
    <mergeCell ref="X3:X4"/>
    <mergeCell ref="BH3:BH4"/>
    <mergeCell ref="E64:F64"/>
    <mergeCell ref="B67:C67"/>
    <mergeCell ref="E63:F63"/>
    <mergeCell ref="G3:G4"/>
    <mergeCell ref="AL37:AM37"/>
    <mergeCell ref="E65:F65"/>
    <mergeCell ref="B69:C69"/>
    <mergeCell ref="J59:M59"/>
    <mergeCell ref="N38:O38"/>
    <mergeCell ref="AI3:AI4"/>
    <mergeCell ref="B2:H2"/>
    <mergeCell ref="AS3:AS4"/>
    <mergeCell ref="AU3:AU4"/>
    <mergeCell ref="AP38:AS38"/>
    <mergeCell ref="Z37:AC37"/>
    <mergeCell ref="AX2:BD2"/>
    <mergeCell ref="B64:C64"/>
    <mergeCell ref="O3:O4"/>
    <mergeCell ref="B38:E38"/>
    <mergeCell ref="AY3:AY4"/>
    <mergeCell ref="BJ37:BK37"/>
    <mergeCell ref="S3:S4"/>
    <mergeCell ref="R40:T40"/>
    <mergeCell ref="B63:C63"/>
    <mergeCell ref="J40:L40"/>
    <mergeCell ref="AH59:AK59"/>
    <mergeCell ref="Z38:AC38"/>
    <mergeCell ref="E67:F67"/>
    <mergeCell ref="AX41:AZ41"/>
    <mergeCell ref="B66:C66"/>
    <mergeCell ref="AH40:AJ40"/>
    <mergeCell ref="AX38:BA38"/>
    <mergeCell ref="BJ38:BK38"/>
    <mergeCell ref="BF2:BL2"/>
    <mergeCell ref="J41:L41"/>
    <mergeCell ref="AJ3:AJ4"/>
    <mergeCell ref="D3:D4"/>
    <mergeCell ref="AL3:AL4"/>
    <mergeCell ref="AZ3:AZ4"/>
    <mergeCell ref="R59:U59"/>
    <mergeCell ref="T3:T4"/>
    <mergeCell ref="K3:K4"/>
    <mergeCell ref="C3:C4"/>
    <mergeCell ref="E3:E4"/>
    <mergeCell ref="AL38:AM38"/>
    <mergeCell ref="V37:W37"/>
    <mergeCell ref="BG3:BG4"/>
    <mergeCell ref="E66:F66"/>
    <mergeCell ref="B37:E37"/>
    <mergeCell ref="Z2:AF2"/>
    <mergeCell ref="AP59:AS59"/>
    <mergeCell ref="AX37:BA37"/>
    <mergeCell ref="AP2:AV2"/>
    <mergeCell ref="B72:C72"/>
    <mergeCell ref="AC3:AC4"/>
    <mergeCell ref="AE3:AE4"/>
    <mergeCell ref="AD38:AE38"/>
    <mergeCell ref="V38:W38"/>
    <mergeCell ref="AH2:AN2"/>
    <mergeCell ref="AQ3:AQ4"/>
    <mergeCell ref="AP40:AR40"/>
    <mergeCell ref="B71:C71"/>
    <mergeCell ref="J2:P2"/>
    <mergeCell ref="BI3:BI4"/>
    <mergeCell ref="BF59:BI59"/>
    <mergeCell ref="Z59:AC59"/>
    <mergeCell ref="BK3:BK4"/>
    <mergeCell ref="AH37:AK37"/>
    <mergeCell ref="R41:T41"/>
    <mergeCell ref="AT37:AU37"/>
    <mergeCell ref="M3:M4"/>
    <mergeCell ref="AT38:AU38"/>
    <mergeCell ref="J38:M38"/>
    <mergeCell ref="AH41:AJ41"/>
    <mergeCell ref="B41:D41"/>
    <mergeCell ref="P3:P4"/>
    <mergeCell ref="H3:H4"/>
    <mergeCell ref="BF41:BH41"/>
    <mergeCell ref="E61:F61"/>
    <mergeCell ref="AB3:AB4"/>
    <mergeCell ref="BJ3:BJ4"/>
    <mergeCell ref="AD3:AD4"/>
    <mergeCell ref="BL3:BL4"/>
    <mergeCell ref="BF37:BI37"/>
    <mergeCell ref="AF3:AF4"/>
    <mergeCell ref="AX40:AZ40"/>
    <mergeCell ref="AD37:AE37"/>
    <mergeCell ref="AT3:AT4"/>
    <mergeCell ref="AV3:AV4"/>
    <mergeCell ref="B61:D61"/>
    <mergeCell ref="AK3:AK4"/>
    <mergeCell ref="BB37:BC37"/>
    <mergeCell ref="C74:D74"/>
    <mergeCell ref="N37:O37"/>
    <mergeCell ref="R2:X2"/>
    <mergeCell ref="B70:C70"/>
    <mergeCell ref="AP37:AS37"/>
    <mergeCell ref="BA3:BA4"/>
    <mergeCell ref="B40:D40"/>
    <mergeCell ref="U3:U4"/>
    <mergeCell ref="BC3:BC4"/>
    <mergeCell ref="BB38:BC38"/>
    <mergeCell ref="B59:E59"/>
    <mergeCell ref="W3:W4"/>
    <mergeCell ref="R38:U38"/>
    <mergeCell ref="J37:M37"/>
    <mergeCell ref="AX59:BA59"/>
    <mergeCell ref="F38:G38"/>
    <mergeCell ref="AP41:AR41"/>
    <mergeCell ref="AA3:AA4"/>
    <mergeCell ref="Z40:AB40"/>
    <mergeCell ref="AM3:AM4"/>
    <mergeCell ref="AH38:AK38"/>
    <mergeCell ref="R37:U37"/>
    <mergeCell ref="B65:C65"/>
    <mergeCell ref="BF40:BH40"/>
    <mergeCell ref="F37:G37"/>
    <mergeCell ref="Z41:AB41"/>
    <mergeCell ref="V3:V4"/>
    <mergeCell ref="AN3:AN4"/>
    <mergeCell ref="AR3:AR4"/>
    <mergeCell ref="BB3:BB4"/>
  </mergeCells>
  <pageMargins left="0.7" right="0.7" top="0.75" bottom="0.75" header="0.3" footer="0.3"/>
  <pageSetup orientation="landscape" scale="4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2026-01-16T19:57:07Z</dcterms:modified>
</cp:coreProperties>
</file>